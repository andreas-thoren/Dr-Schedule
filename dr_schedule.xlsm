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ler\Programmering\Projects\Excel-Dr-Schedule-Public\"/>
    </mc:Choice>
  </mc:AlternateContent>
  <xr:revisionPtr revIDLastSave="0" documentId="13_ncr:1_{228CA9FD-5BBC-4112-90F2-952BC4049FCA}" xr6:coauthVersionLast="47" xr6:coauthVersionMax="47" xr10:uidLastSave="{00000000-0000-0000-0000-000000000000}"/>
  <bookViews>
    <workbookView xWindow="20640" yWindow="0" windowWidth="20640" windowHeight="16680" xr2:uid="{136E87C9-4F0E-4151-91A5-0EDF135CBC5F}"/>
  </bookViews>
  <sheets>
    <sheet name="Bemanning" sheetId="1" r:id="rId1"/>
    <sheet name="Tabeller" sheetId="2" r:id="rId2"/>
    <sheet name="Config" sheetId="3" r:id="rId3"/>
    <sheet name="NavPage" sheetId="4" r:id="rId4"/>
    <sheet name="WelcomePage" sheetId="5" r:id="rId5"/>
  </sheets>
  <functionGroups builtInGroupCount="19"/>
  <definedNames>
    <definedName name="PublishArea" localSheetId="0">Bemanning!$B$1:$D$44</definedName>
    <definedName name="ScheduleDate">Bemanning!$C$1</definedName>
    <definedName name="TabellerInfo">Tabeller!$A$1:$G$5</definedName>
    <definedName name="UserInfo">Bemanning!#REF!</definedName>
    <definedName name="UserMessage">Bemanning!#REF!</definedName>
    <definedName name="WeekDay">Bemanning!$B$1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" l="1"/>
  <c r="B10" i="3" s="1"/>
  <c r="B9" i="3"/>
  <c r="B11" i="3" s="1"/>
  <c r="B7" i="3"/>
  <c r="B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659269-3EAB-4198-881A-2FEF5080DFB8}" name="nested_xml_template" type="4" refreshedVersion="0" background="1">
    <webPr xml="1" sourceData="1" url="D:\Filer\Programmering\Projects\Excel-Dr-Schedule-Public\.Database\Schedules\2023_01_05.xml" htmlTables="1" htmlFormat="all"/>
  </connection>
  <connection id="2" xr16:uid="{713BD444-1FEB-4BF4-95C5-5CB3248BCF8D}" name="tabeller" type="4" refreshedVersion="0" background="1">
    <webPr xml="1" sourceData="1" url="D:\Filer\Programmering\Projects\Excel-Dr-Schedule-Public\.Database\tabeller.xml" htmlTables="1" htmlFormat="all"/>
  </connection>
</connections>
</file>

<file path=xl/sharedStrings.xml><?xml version="1.0" encoding="utf-8"?>
<sst xmlns="http://schemas.openxmlformats.org/spreadsheetml/2006/main" count="122" uniqueCount="92">
  <si>
    <t>Kommentar</t>
  </si>
  <si>
    <t>Gynekologi</t>
  </si>
  <si>
    <t>Urologi</t>
  </si>
  <si>
    <t>Öron/Näsa/Hals</t>
  </si>
  <si>
    <t>Preop bedömning</t>
  </si>
  <si>
    <t>IVA</t>
  </si>
  <si>
    <t>IVA 1</t>
  </si>
  <si>
    <t>IVA 2</t>
  </si>
  <si>
    <t>Dagjour</t>
  </si>
  <si>
    <t>Access och Device</t>
  </si>
  <si>
    <t>MR/Röntgen</t>
  </si>
  <si>
    <t>Klinisk lärare</t>
  </si>
  <si>
    <t xml:space="preserve"> Anestesi - Läkare</t>
  </si>
  <si>
    <t>Salsplacering</t>
  </si>
  <si>
    <t>Akutsal</t>
  </si>
  <si>
    <t>Narkosläkare</t>
  </si>
  <si>
    <t>Tand/Käk/Ögon</t>
  </si>
  <si>
    <t>Bakjour</t>
  </si>
  <si>
    <t>Administrativ</t>
  </si>
  <si>
    <t>IVA ansvarig, Tel: 99802</t>
  </si>
  <si>
    <t>Utb läk. Stud / AT / ST</t>
  </si>
  <si>
    <t>FoU</t>
  </si>
  <si>
    <t>Operation - placeringar</t>
  </si>
  <si>
    <t>IVA - placeringar</t>
  </si>
  <si>
    <t>Op ansvarig - Syd, Tel: 73680</t>
  </si>
  <si>
    <t>Op ansvarig - Nord</t>
  </si>
  <si>
    <t>Kirurgi</t>
  </si>
  <si>
    <t>IVA ansvarig</t>
  </si>
  <si>
    <t>IVA extra</t>
  </si>
  <si>
    <t>Jour - placeringar</t>
  </si>
  <si>
    <t>Ortopedi</t>
  </si>
  <si>
    <t>Dagjour, Tel: 32020</t>
  </si>
  <si>
    <t>IVA jour, Tel: 99802</t>
  </si>
  <si>
    <t>Primärjour, Tel: 32020</t>
  </si>
  <si>
    <t>Sal 15/16</t>
  </si>
  <si>
    <t>Name</t>
  </si>
  <si>
    <t>Value</t>
  </si>
  <si>
    <t>OutputFolder</t>
  </si>
  <si>
    <t>ProjectPath</t>
  </si>
  <si>
    <t>Folder path to where web files are saved</t>
  </si>
  <si>
    <t>IVC</t>
  </si>
  <si>
    <t>Snitt</t>
  </si>
  <si>
    <t>ECT</t>
  </si>
  <si>
    <t>Gastric by pass</t>
  </si>
  <si>
    <t>DatabasePath</t>
  </si>
  <si>
    <t>OriginalPath</t>
  </si>
  <si>
    <t>Path to flat database files</t>
  </si>
  <si>
    <t>ProjectFolder</t>
  </si>
  <si>
    <t>Path to project folder</t>
  </si>
  <si>
    <t>SortOrder</t>
  </si>
  <si>
    <t>Path to project excel file</t>
  </si>
  <si>
    <t>Path to hidden backup of project excel file</t>
  </si>
  <si>
    <t>ST / AT / Student</t>
  </si>
  <si>
    <t>INSTRUKTION:</t>
  </si>
  <si>
    <t>2) När du är klar tryck på Spara/Lås för att ändringarna skall sparas i bakomliggande databas</t>
  </si>
  <si>
    <t>3) Om du gjort ändringar du inte vill spara tryck istället på Avbryt/Återställ</t>
  </si>
  <si>
    <t>4) OBS: ÄNDRA UNDER INGA OMSTÄNDIGHETER TABELLERNAS INBÖRDES POSITIONER ELLER RUBRIKER. DETTA KOMMER GÖRA ATT PROGRAMMET INTE FUNGERAR!!!!!!!!!</t>
  </si>
  <si>
    <t>1) Tryck på knapp Uppdatera/Lås upp för att lägga till/ta bort poster i tabeller. Genomför därefter önskade ändringar till tabellerna.</t>
  </si>
  <si>
    <t>Övriga - placeringar</t>
  </si>
  <si>
    <t>Om du bara vill se schemat välj 'VISA SCHEMA'</t>
  </si>
  <si>
    <t>WebPagePath</t>
  </si>
  <si>
    <t>Path to main webpage</t>
  </si>
  <si>
    <t>RÖR INTE DENNA TABELL OM DU INTE VET VAD DU GÖR. PROGRAMMET KOMMER SLUTA FUNGERA!</t>
  </si>
  <si>
    <t>För att få programmet att fungera gör följande:</t>
  </si>
  <si>
    <t>1) Aktivera innehållet (Se list högt upp i menuområdet).</t>
  </si>
  <si>
    <t>3) Någon måste vara inloggad i office (se högt upp till höger precis till vänster om minimera symbolen/minustecknet).</t>
  </si>
  <si>
    <t>När ovanstående är genomfört bör allt fungera och du bör komma vidare automatiskt.</t>
  </si>
  <si>
    <t>Om det ändå inte fungerar testa att starta om programmet.</t>
  </si>
  <si>
    <t>Operation - befattningar:</t>
  </si>
  <si>
    <t>IVA - befattningar:</t>
  </si>
  <si>
    <t>Jour - befattningar:</t>
  </si>
  <si>
    <t>Övrigt - befattningar:</t>
  </si>
  <si>
    <t>Utbildning - befattningar:</t>
  </si>
  <si>
    <t>2) Svara 'aktivera makron' om du får fråga från säkerhetscentret huruvida dokumentet är betrott.</t>
  </si>
  <si>
    <t>Specifies wether saves are allowed outside of devMode</t>
  </si>
  <si>
    <t>DevMode</t>
  </si>
  <si>
    <t>True</t>
  </si>
  <si>
    <t>BemanningChanged</t>
  </si>
  <si>
    <t>TabellerChanged</t>
  </si>
  <si>
    <t>Keep track of changes on Tabeller Sheet</t>
  </si>
  <si>
    <t>Keep track of changes on Bemanning Sheet</t>
  </si>
  <si>
    <t>SavedSchedulesFolderPath</t>
  </si>
  <si>
    <t>Path to saved schedules folder</t>
  </si>
  <si>
    <t>False</t>
  </si>
  <si>
    <t>Torsdag</t>
  </si>
  <si>
    <t>D:\Filer\Programmering\Projects\Excel-Dr-Schedule-Public</t>
  </si>
  <si>
    <t>Kalle Anka</t>
  </si>
  <si>
    <t>Musse Pigg</t>
  </si>
  <si>
    <t>Långben</t>
  </si>
  <si>
    <t>Knatte</t>
  </si>
  <si>
    <t>Fnatte</t>
  </si>
  <si>
    <t>Tjatte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</si>
</sst>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b/>
      <i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indexed="8"/>
      <name val="Calibri"/>
      <family val="2"/>
    </font>
    <font>
      <sz val="36"/>
      <color theme="1"/>
      <name val="Calibri"/>
      <family val="2"/>
      <scheme val="minor"/>
    </font>
    <font>
      <sz val="36"/>
      <color rgb="FFF2F2F2"/>
      <name val="Calibri"/>
      <family val="2"/>
      <scheme val="minor"/>
    </font>
    <font>
      <sz val="26"/>
      <color rgb="FFF2F2F2"/>
      <name val="Calibri"/>
      <family val="2"/>
      <scheme val="minor"/>
    </font>
    <font>
      <sz val="14"/>
      <color rgb="FFF2F2F2"/>
      <name val="Calibri"/>
      <family val="2"/>
      <scheme val="minor"/>
    </font>
    <font>
      <sz val="16"/>
      <color rgb="FFF2F2F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2AB98"/>
        <bgColor indexed="64"/>
      </patternFill>
    </fill>
    <fill>
      <patternFill patternType="solid">
        <fgColor rgb="FFC8D8E4"/>
        <bgColor indexed="64"/>
      </patternFill>
    </fill>
    <fill>
      <patternFill patternType="solid">
        <fgColor rgb="FF2B6777"/>
        <bgColor indexed="64"/>
      </patternFill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6">
    <xf numFmtId="0" fontId="0" fillId="0" borderId="0" xfId="0"/>
    <xf numFmtId="0" fontId="8" fillId="0" borderId="0" xfId="3" applyNumberFormat="1"/>
    <xf numFmtId="0" fontId="10" fillId="3" borderId="0" xfId="0" applyFont="1" applyFill="1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" fillId="3" borderId="0" xfId="0" applyFont="1" applyFill="1" applyAlignment="1">
      <alignment vertical="center"/>
    </xf>
    <xf numFmtId="0" fontId="1" fillId="3" borderId="0" xfId="0" applyFont="1" applyFill="1"/>
    <xf numFmtId="49" fontId="1" fillId="5" borderId="1" xfId="0" applyNumberFormat="1" applyFont="1" applyFill="1" applyBorder="1" applyProtection="1">
      <protection locked="0"/>
    </xf>
    <xf numFmtId="49" fontId="1" fillId="5" borderId="1" xfId="0" quotePrefix="1" applyNumberFormat="1" applyFont="1" applyFill="1" applyBorder="1" applyProtection="1">
      <protection locked="0"/>
    </xf>
    <xf numFmtId="49" fontId="1" fillId="5" borderId="3" xfId="0" applyNumberFormat="1" applyFont="1" applyFill="1" applyBorder="1" applyProtection="1">
      <protection locked="0"/>
    </xf>
    <xf numFmtId="49" fontId="1" fillId="5" borderId="4" xfId="0" quotePrefix="1" applyNumberFormat="1" applyFont="1" applyFill="1" applyBorder="1" applyProtection="1">
      <protection locked="0"/>
    </xf>
    <xf numFmtId="49" fontId="1" fillId="5" borderId="4" xfId="0" applyNumberFormat="1" applyFont="1" applyFill="1" applyBorder="1" applyProtection="1">
      <protection locked="0"/>
    </xf>
    <xf numFmtId="49" fontId="1" fillId="5" borderId="5" xfId="0" quotePrefix="1" applyNumberFormat="1" applyFont="1" applyFill="1" applyBorder="1" applyProtection="1">
      <protection locked="0"/>
    </xf>
    <xf numFmtId="49" fontId="1" fillId="5" borderId="5" xfId="0" applyNumberFormat="1" applyFont="1" applyFill="1" applyBorder="1" applyProtection="1">
      <protection locked="0"/>
    </xf>
    <xf numFmtId="49" fontId="1" fillId="5" borderId="2" xfId="0" applyNumberFormat="1" applyFont="1" applyFill="1" applyBorder="1" applyProtection="1">
      <protection locked="0"/>
    </xf>
    <xf numFmtId="49" fontId="1" fillId="5" borderId="2" xfId="0" quotePrefix="1" applyNumberFormat="1" applyFont="1" applyFill="1" applyBorder="1" applyProtection="1">
      <protection locked="0"/>
    </xf>
    <xf numFmtId="49" fontId="0" fillId="0" borderId="0" xfId="0" applyNumberFormat="1"/>
    <xf numFmtId="0" fontId="11" fillId="3" borderId="0" xfId="0" applyFont="1" applyFill="1" applyAlignment="1">
      <alignment vertical="center"/>
    </xf>
    <xf numFmtId="0" fontId="0" fillId="3" borderId="0" xfId="0" applyFill="1" applyAlignment="1" applyProtection="1">
      <alignment horizontal="left" vertical="top" indent="2"/>
      <protection locked="0"/>
    </xf>
    <xf numFmtId="0" fontId="1" fillId="3" borderId="0" xfId="0" applyFont="1" applyFill="1" applyAlignment="1">
      <alignment vertical="top"/>
    </xf>
    <xf numFmtId="0" fontId="1" fillId="0" borderId="0" xfId="0" applyFont="1"/>
    <xf numFmtId="0" fontId="6" fillId="0" borderId="7" xfId="0" applyFont="1" applyBorder="1"/>
    <xf numFmtId="0" fontId="3" fillId="0" borderId="0" xfId="0" applyFont="1"/>
    <xf numFmtId="49" fontId="1" fillId="5" borderId="8" xfId="0" applyNumberFormat="1" applyFont="1" applyFill="1" applyBorder="1" applyProtection="1">
      <protection locked="0"/>
    </xf>
    <xf numFmtId="49" fontId="9" fillId="0" borderId="6" xfId="1" applyNumberFormat="1" applyFont="1" applyBorder="1" applyAlignment="1">
      <alignment wrapText="1"/>
    </xf>
    <xf numFmtId="49" fontId="1" fillId="0" borderId="0" xfId="0" applyNumberFormat="1" applyFont="1"/>
    <xf numFmtId="14" fontId="4" fillId="2" borderId="9" xfId="0" applyNumberFormat="1" applyFont="1" applyFill="1" applyBorder="1" applyAlignment="1">
      <alignment horizontal="center" vertical="center"/>
    </xf>
    <xf numFmtId="14" fontId="4" fillId="2" borderId="10" xfId="0" applyNumberFormat="1" applyFont="1" applyFill="1" applyBorder="1" applyAlignment="1" applyProtection="1">
      <alignment horizontal="center" vertical="center"/>
      <protection locked="0"/>
    </xf>
    <xf numFmtId="14" fontId="4" fillId="2" borderId="11" xfId="0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Protection="1">
      <protection locked="0"/>
    </xf>
    <xf numFmtId="49" fontId="4" fillId="5" borderId="4" xfId="0" applyNumberFormat="1" applyFont="1" applyFill="1" applyBorder="1" applyProtection="1">
      <protection locked="0"/>
    </xf>
    <xf numFmtId="0" fontId="15" fillId="4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49" fontId="4" fillId="5" borderId="3" xfId="0" applyNumberFormat="1" applyFont="1" applyFill="1" applyBorder="1" applyProtection="1">
      <protection locked="0"/>
    </xf>
    <xf numFmtId="49" fontId="4" fillId="5" borderId="5" xfId="0" quotePrefix="1" applyNumberFormat="1" applyFont="1" applyFill="1" applyBorder="1" applyProtection="1">
      <protection locked="0"/>
    </xf>
    <xf numFmtId="49" fontId="4" fillId="5" borderId="5" xfId="0" applyNumberFormat="1" applyFont="1" applyFill="1" applyBorder="1" applyProtection="1">
      <protection locked="0"/>
    </xf>
    <xf numFmtId="49" fontId="4" fillId="5" borderId="4" xfId="0" quotePrefix="1" applyNumberFormat="1" applyFont="1" applyFill="1" applyBorder="1" applyProtection="1">
      <protection locked="0"/>
    </xf>
    <xf numFmtId="49" fontId="4" fillId="5" borderId="2" xfId="0" applyNumberFormat="1" applyFont="1" applyFill="1" applyBorder="1" applyProtection="1">
      <protection locked="0"/>
    </xf>
    <xf numFmtId="0" fontId="13" fillId="2" borderId="0" xfId="0" applyFont="1" applyFill="1" applyAlignment="1">
      <alignment horizontal="left" vertical="top" indent="1"/>
    </xf>
    <xf numFmtId="0" fontId="1" fillId="3" borderId="0" xfId="0" applyFont="1" applyFill="1" applyAlignment="1" applyProtection="1">
      <alignment horizontal="left" vertical="top" indent="2"/>
      <protection locked="0"/>
    </xf>
    <xf numFmtId="0" fontId="1" fillId="3" borderId="0" xfId="0" applyFont="1" applyFill="1" applyAlignment="1">
      <alignment horizontal="center"/>
    </xf>
    <xf numFmtId="0" fontId="13" fillId="2" borderId="0" xfId="0" applyFont="1" applyFill="1" applyAlignment="1">
      <alignment horizontal="left" vertical="top" indent="2"/>
    </xf>
    <xf numFmtId="0" fontId="12" fillId="2" borderId="0" xfId="2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left" indent="2"/>
    </xf>
    <xf numFmtId="0" fontId="14" fillId="4" borderId="0" xfId="0" applyFont="1" applyFill="1" applyAlignment="1">
      <alignment horizontal="center"/>
    </xf>
  </cellXfs>
  <cellStyles count="4">
    <cellStyle name="Hyperlänk" xfId="3" builtinId="8"/>
    <cellStyle name="Normal" xfId="0" builtinId="0"/>
    <cellStyle name="Normal_Tabeller" xfId="1" xr:uid="{AAF2516F-3AFA-4B08-8BB1-42AD38A0899D}"/>
    <cellStyle name="Varningstext" xfId="2" builtinId="11"/>
  </cellStyles>
  <dxfs count="6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2F2F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</border>
      <protection locked="1" hidden="0"/>
    </dxf>
    <dxf>
      <border diagonalUp="0" diagonalDown="0">
        <left/>
        <right/>
        <top/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52AB9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color rgb="FFF2F2F2"/>
      </font>
      <fill>
        <patternFill>
          <bgColor rgb="FF2B6777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color auto="1"/>
      </font>
      <fill>
        <patternFill>
          <bgColor rgb="FFC8D8E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2B6777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52AB98"/>
        </patternFill>
      </fill>
    </dxf>
    <dxf>
      <font>
        <color rgb="FFF2F2F2"/>
      </font>
      <fill>
        <patternFill>
          <bgColor rgb="FF2B6777"/>
        </patternFill>
      </fill>
    </dxf>
    <dxf>
      <font>
        <color rgb="FFF2F2F2"/>
      </font>
      <fill>
        <patternFill>
          <bgColor rgb="FF2B6777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</border>
    </dxf>
    <dxf>
      <fill>
        <patternFill>
          <bgColor rgb="FFF2F2F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2" defaultPivotStyle="PivotStyleLight16">
    <tableStyle name="bemanning_tabell_tema" pivot="0" count="2" xr9:uid="{97B527CA-2921-4AE3-B895-8F42C5744CEB}">
      <tableStyleElement type="wholeTable" dxfId="66"/>
      <tableStyleElement type="headerRow" dxfId="65"/>
    </tableStyle>
    <tableStyle name="Tabellformat 1" pivot="0" count="3" xr9:uid="{E1CB1FE2-8694-49E1-929C-48D534D5C3C3}">
      <tableStyleElement type="headerRow" dxfId="64"/>
      <tableStyleElement type="firstRowStripe" dxfId="63"/>
      <tableStyleElement type="secondRowStripe" dxfId="62"/>
    </tableStyle>
    <tableStyle name="Tabellformat 2" pivot="0" count="2" xr9:uid="{9FB09988-B491-4969-8B62-EC1DC2979870}">
      <tableStyleElement type="wholeTable" dxfId="61"/>
      <tableStyleElement type="headerRow" dxfId="60"/>
    </tableStyle>
    <tableStyle name="Tabellformat 3" pivot="0" count="2" xr9:uid="{8FE84C0F-0E20-49C2-85C6-05A8D8627E7D}">
      <tableStyleElement type="wholeTable" dxfId="59"/>
      <tableStyleElement type="headerRow" dxfId="58"/>
    </tableStyle>
  </tableStyles>
  <colors>
    <mruColors>
      <color rgb="FFF2F2F2"/>
      <color rgb="FFC8D8E4"/>
      <color rgb="FF2B6777"/>
      <color rgb="FF52AB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chedule">
        <xsd:complexType>
          <xsd:sequence minOccurs="0">
            <xsd:element minOccurs="0" nillable="true" type="xsd:date" name="scheduledate" form="unqualified"/>
            <xsd:element minOccurs="0" nillable="true" type="xsd:string" name="weekday" form="unqualified"/>
            <xsd:element minOccurs="0" nillable="true" name="operation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icu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oncall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outside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education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tabeller">
        <xsd:complexType>
          <xsd:sequence minOccurs="0">
            <xsd:element minOccurs="0" nillable="true" name="Anestesiologer" form="unqualified">
              <xsd:complexType>
                <xsd:sequence minOccurs="0">
                  <xsd:element minOccurs="0" maxOccurs="unbounded" nillable="true" type="xsd:string" name="person" form="unqualified"/>
                </xsd:sequence>
              </xsd:complexType>
            </xsd:element>
            <xsd:element minOccurs="0" nillable="true" name="Students" form="unqualified">
              <xsd:complexType>
                <xsd:sequence minOccurs="0">
                  <xsd:element minOccurs="0" maxOccurs="unbounded" nillable="true" type="xsd:string" name="person" form="unqualified"/>
                </xsd:sequence>
              </xsd:complexType>
            </xsd:element>
            <xsd:element minOccurs="0" nillable="true" name="Operation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ICU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OnCall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Other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</xsd:sequence>
        </xsd:complexType>
      </xsd:element>
    </xsd:schema>
  </Schema>
  <Map ID="1" Name="schedule_mappning" RootElement="schedule" SchemaID="Schema1" ShowImportExportValidationErrors="false" AutoFit="false" Append="false" PreserveSortAFLayout="true" PreserveFormat="true">
    <DataBinding FileBinding="true" ConnectionID="1" DataBindingLoadMode="1"/>
  </Map>
  <Map ID="2" Name="tabeller_mappning" RootElement="tabeller" SchemaID="Schema2" ShowImportExportValidationErrors="false" AutoFit="fals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518160</xdr:colOff>
          <xdr:row>0</xdr:row>
          <xdr:rowOff>30480</xdr:rowOff>
        </xdr:from>
        <xdr:to>
          <xdr:col>7</xdr:col>
          <xdr:colOff>243840</xdr:colOff>
          <xdr:row>0</xdr:row>
          <xdr:rowOff>381000</xdr:rowOff>
        </xdr:to>
        <xdr:sp macro="" textlink="">
          <xdr:nvSpPr>
            <xdr:cNvPr id="1030" name="btnAdmi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24</xdr:row>
          <xdr:rowOff>99060</xdr:rowOff>
        </xdr:from>
        <xdr:to>
          <xdr:col>8</xdr:col>
          <xdr:colOff>106680</xdr:colOff>
          <xdr:row>27</xdr:row>
          <xdr:rowOff>7620</xdr:rowOff>
        </xdr:to>
        <xdr:sp macro="" textlink="">
          <xdr:nvSpPr>
            <xdr:cNvPr id="1032" name="btnSaveToWeb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20</xdr:row>
          <xdr:rowOff>38100</xdr:rowOff>
        </xdr:from>
        <xdr:to>
          <xdr:col>8</xdr:col>
          <xdr:colOff>114300</xdr:colOff>
          <xdr:row>22</xdr:row>
          <xdr:rowOff>175260</xdr:rowOff>
        </xdr:to>
        <xdr:sp macro="" textlink="">
          <xdr:nvSpPr>
            <xdr:cNvPr id="1034" name="btnOpenWebP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15</xdr:row>
          <xdr:rowOff>213360</xdr:rowOff>
        </xdr:from>
        <xdr:to>
          <xdr:col>8</xdr:col>
          <xdr:colOff>114300</xdr:colOff>
          <xdr:row>18</xdr:row>
          <xdr:rowOff>190500</xdr:rowOff>
        </xdr:to>
        <xdr:sp macro="" textlink="">
          <xdr:nvSpPr>
            <xdr:cNvPr id="1038" name="btnSaveSchedu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152400</xdr:rowOff>
        </xdr:from>
        <xdr:to>
          <xdr:col>8</xdr:col>
          <xdr:colOff>114300</xdr:colOff>
          <xdr:row>14</xdr:row>
          <xdr:rowOff>137160</xdr:rowOff>
        </xdr:to>
        <xdr:sp macro="" textlink="">
          <xdr:nvSpPr>
            <xdr:cNvPr id="1043" name="btnRestoreSaved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7</xdr:row>
          <xdr:rowOff>83820</xdr:rowOff>
        </xdr:from>
        <xdr:to>
          <xdr:col>8</xdr:col>
          <xdr:colOff>114300</xdr:colOff>
          <xdr:row>10</xdr:row>
          <xdr:rowOff>68580</xdr:rowOff>
        </xdr:to>
        <xdr:sp macro="" textlink="">
          <xdr:nvSpPr>
            <xdr:cNvPr id="1044" name="btnRese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0</xdr:row>
          <xdr:rowOff>30480</xdr:rowOff>
        </xdr:from>
        <xdr:to>
          <xdr:col>8</xdr:col>
          <xdr:colOff>99060</xdr:colOff>
          <xdr:row>0</xdr:row>
          <xdr:rowOff>381000</xdr:rowOff>
        </xdr:to>
        <xdr:sp macro="" textlink="">
          <xdr:nvSpPr>
            <xdr:cNvPr id="1045" name="btnAbou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45720</xdr:rowOff>
        </xdr:from>
        <xdr:to>
          <xdr:col>8</xdr:col>
          <xdr:colOff>129540</xdr:colOff>
          <xdr:row>6</xdr:row>
          <xdr:rowOff>30480</xdr:rowOff>
        </xdr:to>
        <xdr:sp macro="" textlink="">
          <xdr:nvSpPr>
            <xdr:cNvPr id="1048" name="btnNex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3</xdr:row>
          <xdr:rowOff>45720</xdr:rowOff>
        </xdr:from>
        <xdr:to>
          <xdr:col>6</xdr:col>
          <xdr:colOff>281940</xdr:colOff>
          <xdr:row>6</xdr:row>
          <xdr:rowOff>30480</xdr:rowOff>
        </xdr:to>
        <xdr:sp macro="" textlink="">
          <xdr:nvSpPr>
            <xdr:cNvPr id="1049" name="btnPrev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3208020</xdr:colOff>
          <xdr:row>7</xdr:row>
          <xdr:rowOff>7620</xdr:rowOff>
        </xdr:to>
        <xdr:sp macro="" textlink="">
          <xdr:nvSpPr>
            <xdr:cNvPr id="2049" name="btnUpdateUnlock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1661160</xdr:colOff>
          <xdr:row>6</xdr:row>
          <xdr:rowOff>0</xdr:rowOff>
        </xdr:from>
        <xdr:to>
          <xdr:col>2</xdr:col>
          <xdr:colOff>3177540</xdr:colOff>
          <xdr:row>7</xdr:row>
          <xdr:rowOff>7620</xdr:rowOff>
        </xdr:to>
        <xdr:sp macro="" textlink="">
          <xdr:nvSpPr>
            <xdr:cNvPr id="2051" name="btnSaveLock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6</xdr:row>
          <xdr:rowOff>0</xdr:rowOff>
        </xdr:from>
        <xdr:to>
          <xdr:col>2</xdr:col>
          <xdr:colOff>1493520</xdr:colOff>
          <xdr:row>7</xdr:row>
          <xdr:rowOff>7620</xdr:rowOff>
        </xdr:to>
        <xdr:sp macro="" textlink="">
          <xdr:nvSpPr>
            <xdr:cNvPr id="2053" name="btnAbortLock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3695700</xdr:colOff>
          <xdr:row>15</xdr:row>
          <xdr:rowOff>121920</xdr:rowOff>
        </xdr:from>
        <xdr:to>
          <xdr:col>2</xdr:col>
          <xdr:colOff>1165860</xdr:colOff>
          <xdr:row>19</xdr:row>
          <xdr:rowOff>99060</xdr:rowOff>
        </xdr:to>
        <xdr:sp macro="" textlink="">
          <xdr:nvSpPr>
            <xdr:cNvPr id="4097" name="btnUpdatePat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15</xdr:row>
          <xdr:rowOff>121920</xdr:rowOff>
        </xdr:from>
        <xdr:to>
          <xdr:col>3</xdr:col>
          <xdr:colOff>228600</xdr:colOff>
          <xdr:row>19</xdr:row>
          <xdr:rowOff>99060</xdr:rowOff>
        </xdr:to>
        <xdr:sp macro="" textlink="">
          <xdr:nvSpPr>
            <xdr:cNvPr id="4098" name="btnLockAndSav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5</xdr:row>
          <xdr:rowOff>160020</xdr:rowOff>
        </xdr:from>
        <xdr:to>
          <xdr:col>15</xdr:col>
          <xdr:colOff>586740</xdr:colOff>
          <xdr:row>9</xdr:row>
          <xdr:rowOff>106680</xdr:rowOff>
        </xdr:to>
        <xdr:sp macro="" textlink="">
          <xdr:nvSpPr>
            <xdr:cNvPr id="3073" name="btnShowSchedu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160020</xdr:rowOff>
        </xdr:from>
        <xdr:to>
          <xdr:col>4</xdr:col>
          <xdr:colOff>449580</xdr:colOff>
          <xdr:row>9</xdr:row>
          <xdr:rowOff>106680</xdr:rowOff>
        </xdr:to>
        <xdr:sp macro="" textlink="">
          <xdr:nvSpPr>
            <xdr:cNvPr id="3074" name="btnEditSchedu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160020</xdr:rowOff>
        </xdr:from>
        <xdr:to>
          <xdr:col>8</xdr:col>
          <xdr:colOff>449580</xdr:colOff>
          <xdr:row>9</xdr:row>
          <xdr:rowOff>106680</xdr:rowOff>
        </xdr:to>
        <xdr:sp macro="" textlink="">
          <xdr:nvSpPr>
            <xdr:cNvPr id="3075" name="btnNewSchedu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ACADA5-D181-4352-9EB4-F072C3F5915C}" name="tblOperationSchedule" displayName="tblOperationSchedule" ref="B3:D14" tableType="xml" totalsRowShown="0" headerRowDxfId="57" dataDxfId="56" tableBorderDxfId="55" connectionId="1">
  <tableColumns count="3">
    <tableColumn id="1" xr3:uid="{BE2ED63E-10AB-439C-946F-0631F3792DCC}" uniqueName="Position" name="Operation - befattningar:" dataDxfId="54">
      <xmlColumnPr mapId="1" xpath="/schedule/operation/record/Position" xmlDataType="string"/>
    </tableColumn>
    <tableColumn id="2" xr3:uid="{79917466-FD7B-441E-B245-E4DD081E39D7}" uniqueName="Doctor" name=" Anestesi - Läkare" dataDxfId="53">
      <xmlColumnPr mapId="1" xpath="/schedule/operation/record/Doctor" xmlDataType="string"/>
    </tableColumn>
    <tableColumn id="3" xr3:uid="{A51F17F7-18EA-46B4-98E7-AA0BA40C2601}" uniqueName="Comment" name="Kommentar" dataDxfId="52">
      <xmlColumnPr mapId="1" xpath="/schedule/operation/record/Comment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D38DBE2-6CDD-4519-95E6-FAA5A043DBF6}" name="tblICUSchedule" displayName="tblICUSchedule" ref="B15:D20" tableType="xml" totalsRowShown="0" headerRowDxfId="51" dataDxfId="50" tableBorderDxfId="49" connectionId="1">
  <tableColumns count="3">
    <tableColumn id="1" xr3:uid="{1F2055B7-AD06-4033-88E6-2147B286949D}" uniqueName="Position" name="IVA - befattningar:" dataDxfId="48">
      <xmlColumnPr mapId="1" xpath="/schedule/icu/record/Position" xmlDataType="string"/>
    </tableColumn>
    <tableColumn id="2" xr3:uid="{87CEBA6F-1E11-4FBA-9C00-509BC266BDDB}" uniqueName="Doctor" name=" Anestesi - Läkare" dataDxfId="47">
      <xmlColumnPr mapId="1" xpath="/schedule/icu/record/Doctor" xmlDataType="string"/>
    </tableColumn>
    <tableColumn id="3" xr3:uid="{A4471996-0563-45CB-B1BC-597F7C3D46C4}" uniqueName="Comment" name="Kommentar" dataDxfId="46">
      <xmlColumnPr mapId="1" xpath="/schedule/icu/record/Comment" xmlDataType="string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580E567-DD3F-4DDF-A644-E112A315FBAC}" name="tblOnCallSchedule" displayName="tblOnCallSchedule" ref="B21:D26" tableType="xml" totalsRowShown="0" headerRowDxfId="45" dataDxfId="44" tableBorderDxfId="43" connectionId="1">
  <tableColumns count="3">
    <tableColumn id="1" xr3:uid="{99320AB1-D4DA-4BE1-9BA6-29CF2F3ECE61}" uniqueName="Position" name="Jour - befattningar:" dataDxfId="42">
      <xmlColumnPr mapId="1" xpath="/schedule/oncall/record/Position" xmlDataType="string"/>
    </tableColumn>
    <tableColumn id="2" xr3:uid="{D0DEECCE-D58C-4801-9095-67A6C9A63134}" uniqueName="Doctor" name=" Anestesi - Läkare" dataDxfId="41">
      <xmlColumnPr mapId="1" xpath="/schedule/oncall/record/Doctor" xmlDataType="string"/>
    </tableColumn>
    <tableColumn id="3" xr3:uid="{4629751E-EDB7-4D5A-B957-C4E509859661}" uniqueName="Comment" name="Kommentar" dataDxfId="40">
      <xmlColumnPr mapId="1" xpath="/schedule/oncall/record/Comment" xmlDataType="string"/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EE7667-0566-4904-8B13-3E4A2BEF66A1}" name="tblOutsideSchedule" displayName="tblOutsideSchedule" ref="B27:D35" tableType="xml" totalsRowShown="0" headerRowDxfId="39" dataDxfId="38" tableBorderDxfId="37" connectionId="1">
  <tableColumns count="3">
    <tableColumn id="1" xr3:uid="{A36D1E33-6F0F-41E4-9073-73CF0FB973BD}" uniqueName="Position" name="Övrigt - befattningar:" dataDxfId="36">
      <xmlColumnPr mapId="1" xpath="/schedule/outside/record/Position" xmlDataType="string"/>
    </tableColumn>
    <tableColumn id="2" xr3:uid="{B8E600E7-83F1-4E3B-90FB-4F6FBE0394B8}" uniqueName="Doctor" name=" Anestesi - Läkare" dataDxfId="35">
      <xmlColumnPr mapId="1" xpath="/schedule/outside/record/Doctor" xmlDataType="string"/>
    </tableColumn>
    <tableColumn id="3" xr3:uid="{76A4B198-1D02-4854-A0AA-D1A3B1144488}" uniqueName="Comment" name="Kommentar" dataDxfId="34">
      <xmlColumnPr mapId="1" xpath="/schedule/outside/record/Comment" xmlDataType="string"/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A9A2A0-5D1B-4C2C-BDA6-9798D637C205}" name="tblStudentSchedule" displayName="tblStudentSchedule" ref="B36:D44" tableType="xml" totalsRowShown="0" headerRowDxfId="33" dataDxfId="32" tableBorderDxfId="31" connectionId="1">
  <tableColumns count="3">
    <tableColumn id="1" xr3:uid="{3FD00579-2F4D-45B3-8175-857D0034C148}" uniqueName="Position" name="Utbildning - befattningar:" dataDxfId="30">
      <xmlColumnPr mapId="1" xpath="/schedule/education/record/Position" xmlDataType="string"/>
    </tableColumn>
    <tableColumn id="2" xr3:uid="{77F5C247-7623-4F4F-A0FD-37406272C50B}" uniqueName="Doctor" name="Utb läk. Stud / AT / ST" dataDxfId="29">
      <xmlColumnPr mapId="1" xpath="/schedule/education/record/Doctor" xmlDataType="string"/>
    </tableColumn>
    <tableColumn id="3" xr3:uid="{FFF6A542-28BB-4F05-B9A3-37FF85B08B47}" uniqueName="Comment" name="Kommentar" dataDxfId="28">
      <xmlColumnPr mapId="1" xpath="/schedule/education/record/Comment" xmlDataType="string"/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2A37C9-81F2-4915-9BFA-530F3D3916DE}" name="Anestesiologer" displayName="Anestesiologer" ref="A9:A12" tableType="xml" totalsRowShown="0" headerRowDxfId="27" dataDxfId="26" tableBorderDxfId="25" dataCellStyle="Normal_Tabeller" connectionId="2">
  <sortState xmlns:xlrd2="http://schemas.microsoft.com/office/spreadsheetml/2017/richdata2" ref="A10">
    <sortCondition ref="A9:A10"/>
  </sortState>
  <tableColumns count="1">
    <tableColumn id="1" xr3:uid="{197A6E54-2738-48EE-9478-5B10EC897E01}" uniqueName="person" name="Narkosläkare" dataDxfId="24" dataCellStyle="Normal_Tabeller">
      <xmlColumnPr mapId="2" xpath="/tabeller/Anestesiologer/person" xmlDataType="string"/>
    </tableColumn>
  </tableColumns>
  <tableStyleInfo name="bemanning_tabell_tema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D5C170-A89C-4D8A-93E5-F8811C67D361}" name="Students" displayName="Students" ref="C9:C12" tableType="xml" totalsRowShown="0" headerRowDxfId="23" dataDxfId="22" connectionId="2">
  <sortState xmlns:xlrd2="http://schemas.microsoft.com/office/spreadsheetml/2017/richdata2" ref="C10">
    <sortCondition ref="C9:C10"/>
  </sortState>
  <tableColumns count="1">
    <tableColumn id="1" xr3:uid="{71F15DC4-35E9-43AC-95AF-3D502163E61B}" uniqueName="person" name="ST / AT / Student" dataDxfId="21">
      <xmlColumnPr mapId="2" xpath="/tabeller/Students/person" xmlDataType="string"/>
    </tableColumn>
  </tableColumns>
  <tableStyleInfo name="bemanning_tabell_tem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631DC2-AB86-4794-9CCD-39F42DC9A404}" name="Outside" displayName="Outside" ref="K9:K21" tableType="xml" totalsRowShown="0" headerRowDxfId="20" dataDxfId="18" headerRowBorderDxfId="19" tableBorderDxfId="17" connectionId="2">
  <sortState xmlns:xlrd2="http://schemas.microsoft.com/office/spreadsheetml/2017/richdata2" ref="K10">
    <sortCondition ref="K9:K10"/>
  </sortState>
  <tableColumns count="1">
    <tableColumn id="1" xr3:uid="{88FF6E0C-00AA-4D32-B726-353CF87DEBFD}" uniqueName="position" name="Övriga - placeringar" dataDxfId="16">
      <xmlColumnPr mapId="2" xpath="/tabeller/Other/position" xmlDataType="string"/>
    </tableColumn>
  </tableColumns>
  <tableStyleInfo name="bemanning_tabell_tema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2AE54A-BF02-4E39-8B0B-9A1D59DA2D9A}" name="Operation" displayName="Operation" ref="E9:E19" tableType="xml" totalsRowShown="0" headerRowDxfId="15" dataDxfId="13" headerRowBorderDxfId="14" tableBorderDxfId="12" connectionId="2">
  <sortState xmlns:xlrd2="http://schemas.microsoft.com/office/spreadsheetml/2017/richdata2" ref="E10">
    <sortCondition ref="E9:E10"/>
  </sortState>
  <tableColumns count="1">
    <tableColumn id="1" xr3:uid="{7A891B17-89FF-48CE-B35C-ABE7B73E90E0}" uniqueName="position" name="Operation - placeringar" dataDxfId="11">
      <xmlColumnPr mapId="2" xpath="/tabeller/Operation/position" xmlDataType="string"/>
    </tableColumn>
  </tableColumns>
  <tableStyleInfo name="bemanning_tabell_tema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8FC473-5CF0-458C-9302-6A5B68C2C3B2}" name="ICU" displayName="ICU" ref="G9:G14" tableType="xml" totalsRowShown="0" headerRowDxfId="10" dataDxfId="8" headerRowBorderDxfId="9" tableBorderDxfId="7" connectionId="2">
  <sortState xmlns:xlrd2="http://schemas.microsoft.com/office/spreadsheetml/2017/richdata2" ref="G10">
    <sortCondition ref="G9:G10"/>
  </sortState>
  <tableColumns count="1">
    <tableColumn id="1" xr3:uid="{E55505FE-81C7-4F0A-96EC-9D645B461519}" uniqueName="position" name="IVA - placeringar" dataDxfId="6">
      <xmlColumnPr mapId="2" xpath="/tabeller/ICU/position" xmlDataType="string"/>
    </tableColumn>
  </tableColumns>
  <tableStyleInfo name="bemanning_tabell_tema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FDAAE9-4BB2-45DB-80D9-175B837400CD}" name="OnCall" displayName="OnCall" ref="I9:I12" tableType="xml" totalsRowShown="0" headerRowDxfId="5" dataDxfId="3" headerRowBorderDxfId="4" tableBorderDxfId="2" connectionId="2">
  <sortState xmlns:xlrd2="http://schemas.microsoft.com/office/spreadsheetml/2017/richdata2" ref="I10">
    <sortCondition ref="I9:I10"/>
  </sortState>
  <tableColumns count="1">
    <tableColumn id="1" xr3:uid="{6F1CC89C-2760-4375-90E6-7BEC7A0CF4E2}" uniqueName="position" name="Jour - placeringar" dataDxfId="1">
      <xmlColumnPr mapId="2" xpath="/tabeller/OnCall/position" xmlDataType="string"/>
    </tableColumn>
  </tableColumns>
  <tableStyleInfo name="bemanning_tabell_tema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52675E-8C8B-4CD8-B6F4-FF58B0B944D4}" name="tblConfig" displayName="tblConfig" ref="A4:D14" totalsRowShown="0">
  <sortState xmlns:xlrd2="http://schemas.microsoft.com/office/spreadsheetml/2017/richdata2" ref="A5:D9">
    <sortCondition ref="D4:D9"/>
  </sortState>
  <tableColumns count="4">
    <tableColumn id="1" xr3:uid="{0626EA8A-96F3-415A-8E44-4688100EC85C}" name="Name"/>
    <tableColumn id="2" xr3:uid="{5675A59F-CC6E-41DA-8AA0-4C57411D9156}" name="Value" dataDxfId="0"/>
    <tableColumn id="3" xr3:uid="{ACAC9CE8-2EF8-4036-9CFB-56AED77C9981}" name="Kommentar"/>
    <tableColumn id="4" xr3:uid="{0ECB3747-8B28-44BB-9A00-06B1D4FBB270}" name="SortOrder"/>
  </tableColumns>
  <tableStyleInfo name="bemanning_tabell_tema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9" xr6:uid="{EA44E80F-D28C-41F8-B3A8-929681DB2D75}" r="B1" connectionId="1">
    <xmlCellPr id="1" xr6:uid="{8EE178FA-EF0C-4AA6-B44F-5029583D2307}" uniqueName="weekday">
      <xmlPr mapId="1" xpath="/schedule/weekday" xmlDataType="string"/>
    </xmlCellPr>
  </singleXmlCell>
  <singleXmlCell id="7" xr6:uid="{B1C30592-8CBD-41DF-ADE0-3C61FC0FEBB7}" r="C1" connectionId="1">
    <xmlCellPr id="1" xr6:uid="{1C5ABE26-5712-4066-B141-971F7CDFB1BE}" uniqueName="scheduledate">
      <xmlPr mapId="1" xpath="/schedule/scheduledate" xmlDataType="date"/>
    </xmlCellPr>
  </singleXmlCell>
</singleXmlCell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SingleCells" Target="../tables/tableSingleCells1.xml"/><Relationship Id="rId27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table" Target="../tables/table7.xml"/><Relationship Id="rId5" Type="http://schemas.openxmlformats.org/officeDocument/2006/relationships/image" Target="../media/image10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L&#228;karbemanning_excel" TargetMode="Externa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6E93-4AAF-4D05-9786-8C2561BC6004}">
  <sheetPr codeName="Bemanning"/>
  <dimension ref="B1:D46"/>
  <sheetViews>
    <sheetView showGridLines="0" tabSelected="1" topLeftCell="A21" zoomScaleNormal="100" workbookViewId="0">
      <selection activeCell="C31" sqref="C31"/>
    </sheetView>
  </sheetViews>
  <sheetFormatPr defaultColWidth="9.109375" defaultRowHeight="18.899999999999999" customHeight="1" x14ac:dyDescent="0.35"/>
  <cols>
    <col min="1" max="1" width="4.88671875" style="6" customWidth="1"/>
    <col min="2" max="2" width="41.44140625" style="6" customWidth="1"/>
    <col min="3" max="3" width="43.88671875" style="6" customWidth="1"/>
    <col min="4" max="4" width="40" style="6" customWidth="1"/>
    <col min="5" max="16384" width="9.109375" style="6"/>
  </cols>
  <sheetData>
    <row r="1" spans="2:4" s="5" customFormat="1" ht="34.200000000000003" customHeight="1" thickBot="1" x14ac:dyDescent="0.35">
      <c r="B1" s="26" t="s">
        <v>84</v>
      </c>
      <c r="C1" s="27">
        <v>44931</v>
      </c>
      <c r="D1" s="28"/>
    </row>
    <row r="2" spans="2:4" ht="6.6" customHeight="1" x14ac:dyDescent="0.35"/>
    <row r="3" spans="2:4" ht="25.2" customHeight="1" x14ac:dyDescent="0.35">
      <c r="B3" s="31" t="s">
        <v>68</v>
      </c>
      <c r="C3" s="31" t="s">
        <v>12</v>
      </c>
      <c r="D3" s="31" t="s">
        <v>0</v>
      </c>
    </row>
    <row r="4" spans="2:4" ht="18.899999999999999" customHeight="1" x14ac:dyDescent="0.35">
      <c r="B4" s="29" t="s">
        <v>24</v>
      </c>
      <c r="C4" s="7" t="s">
        <v>86</v>
      </c>
      <c r="D4" s="8"/>
    </row>
    <row r="5" spans="2:4" ht="18.899999999999999" customHeight="1" x14ac:dyDescent="0.35">
      <c r="B5" s="29" t="s">
        <v>26</v>
      </c>
      <c r="C5" s="7"/>
      <c r="D5" s="8"/>
    </row>
    <row r="6" spans="2:4" ht="18.899999999999999" customHeight="1" x14ac:dyDescent="0.35">
      <c r="B6" s="29" t="s">
        <v>1</v>
      </c>
      <c r="C6" s="7"/>
      <c r="D6" s="8"/>
    </row>
    <row r="7" spans="2:4" ht="18.899999999999999" customHeight="1" x14ac:dyDescent="0.35">
      <c r="B7" s="29" t="s">
        <v>2</v>
      </c>
      <c r="C7" s="7"/>
      <c r="D7" s="8"/>
    </row>
    <row r="8" spans="2:4" ht="18.899999999999999" customHeight="1" x14ac:dyDescent="0.35">
      <c r="B8" s="30"/>
      <c r="C8" s="11"/>
      <c r="D8" s="11"/>
    </row>
    <row r="9" spans="2:4" ht="18.899999999999999" customHeight="1" x14ac:dyDescent="0.35">
      <c r="B9" s="30" t="s">
        <v>25</v>
      </c>
      <c r="C9" s="10"/>
      <c r="D9" s="10"/>
    </row>
    <row r="10" spans="2:4" ht="18.899999999999999" customHeight="1" x14ac:dyDescent="0.35">
      <c r="B10" s="30" t="s">
        <v>30</v>
      </c>
      <c r="C10" s="11"/>
      <c r="D10" s="10"/>
    </row>
    <row r="11" spans="2:4" ht="18.899999999999999" customHeight="1" x14ac:dyDescent="0.35">
      <c r="B11" s="30" t="s">
        <v>3</v>
      </c>
      <c r="C11" s="11"/>
      <c r="D11" s="10"/>
    </row>
    <row r="12" spans="2:4" ht="18.899999999999999" customHeight="1" x14ac:dyDescent="0.35">
      <c r="B12" s="30" t="s">
        <v>16</v>
      </c>
      <c r="C12" s="11"/>
      <c r="D12" s="10"/>
    </row>
    <row r="13" spans="2:4" ht="18.899999999999999" customHeight="1" x14ac:dyDescent="0.35">
      <c r="B13" s="30"/>
      <c r="C13" s="11"/>
      <c r="D13" s="11"/>
    </row>
    <row r="14" spans="2:4" ht="18.899999999999999" customHeight="1" x14ac:dyDescent="0.35">
      <c r="B14" s="30" t="s">
        <v>4</v>
      </c>
      <c r="C14" s="10"/>
      <c r="D14" s="11"/>
    </row>
    <row r="15" spans="2:4" ht="25.2" customHeight="1" x14ac:dyDescent="0.35">
      <c r="B15" s="31" t="s">
        <v>69</v>
      </c>
      <c r="C15" s="31" t="s">
        <v>12</v>
      </c>
      <c r="D15" s="31" t="s">
        <v>0</v>
      </c>
    </row>
    <row r="16" spans="2:4" ht="18.899999999999999" customHeight="1" x14ac:dyDescent="0.35">
      <c r="B16" s="29" t="s">
        <v>27</v>
      </c>
      <c r="C16" s="7" t="s">
        <v>87</v>
      </c>
      <c r="D16" s="8"/>
    </row>
    <row r="17" spans="2:4" ht="18.899999999999999" customHeight="1" x14ac:dyDescent="0.35">
      <c r="B17" s="29" t="s">
        <v>6</v>
      </c>
      <c r="C17" s="7"/>
      <c r="D17" s="8"/>
    </row>
    <row r="18" spans="2:4" ht="18.899999999999999" customHeight="1" x14ac:dyDescent="0.35">
      <c r="B18" s="29" t="s">
        <v>7</v>
      </c>
      <c r="C18" s="7"/>
      <c r="D18" s="8"/>
    </row>
    <row r="19" spans="2:4" ht="18.899999999999999" customHeight="1" x14ac:dyDescent="0.35">
      <c r="B19" s="33" t="s">
        <v>8</v>
      </c>
      <c r="C19" s="9"/>
      <c r="D19" s="9"/>
    </row>
    <row r="20" spans="2:4" ht="18.899999999999999" customHeight="1" x14ac:dyDescent="0.35">
      <c r="B20" s="34"/>
      <c r="C20" s="12"/>
      <c r="D20" s="12"/>
    </row>
    <row r="21" spans="2:4" ht="25.2" customHeight="1" x14ac:dyDescent="0.35">
      <c r="B21" s="31" t="s">
        <v>70</v>
      </c>
      <c r="C21" s="31" t="s">
        <v>12</v>
      </c>
      <c r="D21" s="31" t="s">
        <v>0</v>
      </c>
    </row>
    <row r="22" spans="2:4" ht="18.899999999999999" customHeight="1" x14ac:dyDescent="0.35">
      <c r="B22" s="29" t="s">
        <v>33</v>
      </c>
      <c r="C22" s="7" t="s">
        <v>88</v>
      </c>
      <c r="D22" s="8"/>
    </row>
    <row r="23" spans="2:4" ht="18.899999999999999" customHeight="1" x14ac:dyDescent="0.35">
      <c r="B23" s="29" t="s">
        <v>32</v>
      </c>
      <c r="C23" s="7"/>
      <c r="D23" s="8"/>
    </row>
    <row r="24" spans="2:4" ht="18.899999999999999" customHeight="1" x14ac:dyDescent="0.35">
      <c r="B24" s="35" t="s">
        <v>17</v>
      </c>
      <c r="C24" s="13"/>
      <c r="D24" s="12"/>
    </row>
    <row r="25" spans="2:4" ht="18.899999999999999" customHeight="1" x14ac:dyDescent="0.35">
      <c r="B25" s="36"/>
      <c r="C25" s="10"/>
      <c r="D25" s="10"/>
    </row>
    <row r="26" spans="2:4" ht="18.899999999999999" customHeight="1" x14ac:dyDescent="0.35">
      <c r="B26" s="34"/>
      <c r="C26" s="12"/>
      <c r="D26" s="12"/>
    </row>
    <row r="27" spans="2:4" ht="25.2" customHeight="1" x14ac:dyDescent="0.35">
      <c r="B27" s="31" t="s">
        <v>71</v>
      </c>
      <c r="C27" s="31" t="s">
        <v>12</v>
      </c>
      <c r="D27" s="31" t="s">
        <v>0</v>
      </c>
    </row>
    <row r="28" spans="2:4" ht="18.899999999999999" customHeight="1" x14ac:dyDescent="0.35">
      <c r="B28" s="29"/>
      <c r="C28" s="7"/>
      <c r="D28" s="8"/>
    </row>
    <row r="29" spans="2:4" ht="18.899999999999999" customHeight="1" x14ac:dyDescent="0.35">
      <c r="B29" s="29"/>
      <c r="C29" s="7"/>
      <c r="D29" s="8"/>
    </row>
    <row r="30" spans="2:4" ht="18.899999999999999" customHeight="1" x14ac:dyDescent="0.35">
      <c r="B30" s="35"/>
      <c r="C30" s="13"/>
      <c r="D30" s="13"/>
    </row>
    <row r="31" spans="2:4" ht="18.899999999999999" customHeight="1" x14ac:dyDescent="0.35">
      <c r="B31" s="36"/>
      <c r="C31" s="10"/>
      <c r="D31" s="10"/>
    </row>
    <row r="32" spans="2:4" ht="18.899999999999999" customHeight="1" x14ac:dyDescent="0.35">
      <c r="B32" s="36"/>
      <c r="C32" s="10"/>
      <c r="D32" s="10"/>
    </row>
    <row r="33" spans="2:4" ht="18.899999999999999" customHeight="1" x14ac:dyDescent="0.35">
      <c r="B33" s="36"/>
      <c r="C33" s="10"/>
      <c r="D33" s="10"/>
    </row>
    <row r="34" spans="2:4" ht="18.899999999999999" customHeight="1" x14ac:dyDescent="0.35">
      <c r="B34" s="36"/>
      <c r="C34" s="10"/>
      <c r="D34" s="10"/>
    </row>
    <row r="35" spans="2:4" ht="18.899999999999999" customHeight="1" x14ac:dyDescent="0.35">
      <c r="B35" s="34"/>
      <c r="C35" s="12"/>
      <c r="D35" s="12"/>
    </row>
    <row r="36" spans="2:4" ht="25.2" customHeight="1" x14ac:dyDescent="0.35">
      <c r="B36" s="32" t="s">
        <v>72</v>
      </c>
      <c r="C36" s="32" t="s">
        <v>20</v>
      </c>
      <c r="D36" s="32" t="s">
        <v>0</v>
      </c>
    </row>
    <row r="37" spans="2:4" ht="18.899999999999999" customHeight="1" x14ac:dyDescent="0.35">
      <c r="B37" s="37" t="s">
        <v>13</v>
      </c>
      <c r="C37" s="14" t="s">
        <v>89</v>
      </c>
      <c r="D37" s="15"/>
    </row>
    <row r="38" spans="2:4" ht="18.899999999999999" customHeight="1" x14ac:dyDescent="0.35">
      <c r="B38" s="37" t="s">
        <v>34</v>
      </c>
      <c r="C38" s="14" t="s">
        <v>90</v>
      </c>
      <c r="D38" s="15"/>
    </row>
    <row r="39" spans="2:4" ht="18.899999999999999" customHeight="1" x14ac:dyDescent="0.35">
      <c r="B39" s="37"/>
      <c r="C39" s="14"/>
      <c r="D39" s="15"/>
    </row>
    <row r="40" spans="2:4" ht="18.899999999999999" customHeight="1" x14ac:dyDescent="0.35">
      <c r="B40" s="37"/>
      <c r="C40" s="13"/>
      <c r="D40" s="13"/>
    </row>
    <row r="41" spans="2:4" ht="18.899999999999999" customHeight="1" x14ac:dyDescent="0.35">
      <c r="B41" s="37"/>
      <c r="C41" s="10"/>
      <c r="D41" s="10"/>
    </row>
    <row r="42" spans="2:4" ht="18.899999999999999" customHeight="1" x14ac:dyDescent="0.35">
      <c r="B42" s="37"/>
      <c r="C42" s="10"/>
      <c r="D42" s="10"/>
    </row>
    <row r="43" spans="2:4" ht="18.899999999999999" customHeight="1" x14ac:dyDescent="0.35">
      <c r="B43" s="37"/>
      <c r="C43" s="10"/>
      <c r="D43" s="10"/>
    </row>
    <row r="44" spans="2:4" ht="18.899999999999999" customHeight="1" x14ac:dyDescent="0.35">
      <c r="B44" s="37"/>
      <c r="C44" s="12"/>
      <c r="D44" s="12"/>
    </row>
    <row r="45" spans="2:4" ht="18.899999999999999" customHeight="1" x14ac:dyDescent="0.35">
      <c r="B45" s="3"/>
      <c r="C45" s="3"/>
      <c r="D45" s="3"/>
    </row>
    <row r="46" spans="2:4" ht="18.899999999999999" customHeight="1" x14ac:dyDescent="0.35">
      <c r="B46" s="3"/>
      <c r="C46" s="3"/>
      <c r="D46" s="3"/>
    </row>
  </sheetData>
  <sheetProtection selectLockedCells="1"/>
  <phoneticPr fontId="2" type="noConversion"/>
  <dataValidations count="8">
    <dataValidation showInputMessage="1" showErrorMessage="1" sqref="B1" xr:uid="{213DE29C-78B2-400A-AB94-67C11E30D06F}"/>
    <dataValidation type="list" allowBlank="1" showInputMessage="1" sqref="B16:B20" xr:uid="{4E0318EF-E996-4EC4-9F8C-28EAC388549B}">
      <formula1>INDIRECT("ICU[IVA - placeringar]")</formula1>
    </dataValidation>
    <dataValidation type="list" allowBlank="1" showInputMessage="1" sqref="C16:C20 C28:C35 C22:C26 C4:C14" xr:uid="{FFEBA93F-9051-4AA6-926D-96ACFC61B92A}">
      <formula1>INDIRECT("Anestesiologer[Narkosläkare]")</formula1>
    </dataValidation>
    <dataValidation type="list" allowBlank="1" showInputMessage="1" sqref="B28:B35 B37:B44" xr:uid="{50FCE72D-6288-45A7-8650-CA740A4F225B}">
      <formula1>INDIRECT("Outside[Övriga - placeringar]")</formula1>
    </dataValidation>
    <dataValidation type="list" allowBlank="1" showInputMessage="1" sqref="C37:C44" xr:uid="{2C95FBE8-2813-4E03-9862-1507777D9AB1}">
      <formula1>INDIRECT("Students[ST / AT / Student]")</formula1>
    </dataValidation>
    <dataValidation type="list" allowBlank="1" showInputMessage="1" sqref="B22:B26" xr:uid="{21E31D3D-0535-46E8-9169-AF883051D2FA}">
      <formula1>INDIRECT("OnCall[Jour - placeringar]")</formula1>
    </dataValidation>
    <dataValidation type="list" allowBlank="1" showInputMessage="1" sqref="B4:B14" xr:uid="{19C28EDC-07C6-4074-85B1-B784066F0480}">
      <formula1>INDIRECT("Operation[Operation - placeringar]")</formula1>
    </dataValidation>
    <dataValidation type="date" allowBlank="1" showInputMessage="1" showErrorMessage="1" errorTitle="Felaktigt datum" error="Fyll i ett datum mellan 2023-01-01 tom 3023-01-01" promptTitle="Ange giltigt datum" prompt="YYYY-MM-DD" sqref="C1" xr:uid="{8CD36359-B50A-4356-B8B3-F37D96AF4484}">
      <formula1>44927</formula1>
      <formula2>410169</formula2>
    </dataValidation>
  </dataValidations>
  <pageMargins left="0.25" right="0.25" top="0.75" bottom="0.75" header="0.3" footer="0.3"/>
  <pageSetup paperSize="9" orientation="landscape" horizontalDpi="4294967293" r:id="rId1"/>
  <headerFooter>
    <oddHeader>&amp;C&amp;"-,Fet"&amp;18&amp;KFF0000Läkarbemanning</oddHeader>
  </headerFooter>
  <drawing r:id="rId2"/>
  <legacyDrawing r:id="rId3"/>
  <controls>
    <mc:AlternateContent xmlns:mc="http://schemas.openxmlformats.org/markup-compatibility/2006">
      <mc:Choice Requires="x14">
        <control shapeId="1049" r:id="rId4" name="btnPrev">
          <controlPr defaultSize="0" print="0" autoLine="0" r:id="rId5">
            <anchor moveWithCells="1">
              <from>
                <xdr:col>5</xdr:col>
                <xdr:colOff>213360</xdr:colOff>
                <xdr:row>3</xdr:row>
                <xdr:rowOff>45720</xdr:rowOff>
              </from>
              <to>
                <xdr:col>6</xdr:col>
                <xdr:colOff>281940</xdr:colOff>
                <xdr:row>6</xdr:row>
                <xdr:rowOff>30480</xdr:rowOff>
              </to>
            </anchor>
          </controlPr>
        </control>
      </mc:Choice>
      <mc:Fallback>
        <control shapeId="1049" r:id="rId4" name="btnPrev"/>
      </mc:Fallback>
    </mc:AlternateContent>
    <mc:AlternateContent xmlns:mc="http://schemas.openxmlformats.org/markup-compatibility/2006">
      <mc:Choice Requires="x14">
        <control shapeId="1048" r:id="rId6" name="btnNext">
          <controlPr defaultSize="0" print="0" autoLine="0" r:id="rId7">
            <anchor moveWithCells="1">
              <from>
                <xdr:col>7</xdr:col>
                <xdr:colOff>60960</xdr:colOff>
                <xdr:row>3</xdr:row>
                <xdr:rowOff>45720</xdr:rowOff>
              </from>
              <to>
                <xdr:col>8</xdr:col>
                <xdr:colOff>129540</xdr:colOff>
                <xdr:row>6</xdr:row>
                <xdr:rowOff>30480</xdr:rowOff>
              </to>
            </anchor>
          </controlPr>
        </control>
      </mc:Choice>
      <mc:Fallback>
        <control shapeId="1048" r:id="rId6" name="btnNext"/>
      </mc:Fallback>
    </mc:AlternateContent>
    <mc:AlternateContent xmlns:mc="http://schemas.openxmlformats.org/markup-compatibility/2006">
      <mc:Choice Requires="x14">
        <control shapeId="1044" r:id="rId8" name="btnReset">
          <controlPr defaultSize="0" autoLine="0" autoPict="0" r:id="rId9">
            <anchor moveWithCells="1">
              <from>
                <xdr:col>5</xdr:col>
                <xdr:colOff>213360</xdr:colOff>
                <xdr:row>7</xdr:row>
                <xdr:rowOff>83820</xdr:rowOff>
              </from>
              <to>
                <xdr:col>8</xdr:col>
                <xdr:colOff>114300</xdr:colOff>
                <xdr:row>10</xdr:row>
                <xdr:rowOff>68580</xdr:rowOff>
              </to>
            </anchor>
          </controlPr>
        </control>
      </mc:Choice>
      <mc:Fallback>
        <control shapeId="1044" r:id="rId8" name="btnReset"/>
      </mc:Fallback>
    </mc:AlternateContent>
    <mc:AlternateContent xmlns:mc="http://schemas.openxmlformats.org/markup-compatibility/2006">
      <mc:Choice Requires="x14">
        <control shapeId="1043" r:id="rId10" name="btnRestoreSaved">
          <controlPr defaultSize="0" autoLine="0" autoPict="0" r:id="rId11">
            <anchor moveWithCells="1">
              <from>
                <xdr:col>5</xdr:col>
                <xdr:colOff>213360</xdr:colOff>
                <xdr:row>11</xdr:row>
                <xdr:rowOff>152400</xdr:rowOff>
              </from>
              <to>
                <xdr:col>8</xdr:col>
                <xdr:colOff>114300</xdr:colOff>
                <xdr:row>14</xdr:row>
                <xdr:rowOff>137160</xdr:rowOff>
              </to>
            </anchor>
          </controlPr>
        </control>
      </mc:Choice>
      <mc:Fallback>
        <control shapeId="1043" r:id="rId10" name="btnRestoreSaved"/>
      </mc:Fallback>
    </mc:AlternateContent>
    <mc:AlternateContent xmlns:mc="http://schemas.openxmlformats.org/markup-compatibility/2006">
      <mc:Choice Requires="x14">
        <control shapeId="1038" r:id="rId12" name="btnSaveSchedule">
          <controlPr defaultSize="0" autoLine="0" autoPict="0" r:id="rId13">
            <anchor moveWithCells="1">
              <from>
                <xdr:col>5</xdr:col>
                <xdr:colOff>213360</xdr:colOff>
                <xdr:row>15</xdr:row>
                <xdr:rowOff>213360</xdr:rowOff>
              </from>
              <to>
                <xdr:col>8</xdr:col>
                <xdr:colOff>114300</xdr:colOff>
                <xdr:row>18</xdr:row>
                <xdr:rowOff>190500</xdr:rowOff>
              </to>
            </anchor>
          </controlPr>
        </control>
      </mc:Choice>
      <mc:Fallback>
        <control shapeId="1038" r:id="rId12" name="btnSaveSchedule"/>
      </mc:Fallback>
    </mc:AlternateContent>
    <mc:AlternateContent xmlns:mc="http://schemas.openxmlformats.org/markup-compatibility/2006">
      <mc:Choice Requires="x14">
        <control shapeId="1032" r:id="rId14" name="btnSaveToWeb">
          <controlPr defaultSize="0" autoLine="0" autoPict="0" r:id="rId15">
            <anchor moveWithCells="1">
              <from>
                <xdr:col>5</xdr:col>
                <xdr:colOff>213360</xdr:colOff>
                <xdr:row>24</xdr:row>
                <xdr:rowOff>99060</xdr:rowOff>
              </from>
              <to>
                <xdr:col>8</xdr:col>
                <xdr:colOff>106680</xdr:colOff>
                <xdr:row>27</xdr:row>
                <xdr:rowOff>7620</xdr:rowOff>
              </to>
            </anchor>
          </controlPr>
        </control>
      </mc:Choice>
      <mc:Fallback>
        <control shapeId="1032" r:id="rId14" name="btnSaveToWeb"/>
      </mc:Fallback>
    </mc:AlternateContent>
    <mc:AlternateContent xmlns:mc="http://schemas.openxmlformats.org/markup-compatibility/2006">
      <mc:Choice Requires="x14">
        <control shapeId="1030" r:id="rId16" name="btnAdmin">
          <controlPr defaultSize="0" autoLine="0" r:id="rId17">
            <anchor moveWithCells="1">
              <from>
                <xdr:col>6</xdr:col>
                <xdr:colOff>518160</xdr:colOff>
                <xdr:row>0</xdr:row>
                <xdr:rowOff>30480</xdr:rowOff>
              </from>
              <to>
                <xdr:col>7</xdr:col>
                <xdr:colOff>243840</xdr:colOff>
                <xdr:row>0</xdr:row>
                <xdr:rowOff>381000</xdr:rowOff>
              </to>
            </anchor>
          </controlPr>
        </control>
      </mc:Choice>
      <mc:Fallback>
        <control shapeId="1030" r:id="rId16" name="btnAdmin"/>
      </mc:Fallback>
    </mc:AlternateContent>
    <mc:AlternateContent xmlns:mc="http://schemas.openxmlformats.org/markup-compatibility/2006">
      <mc:Choice Requires="x14">
        <control shapeId="1034" r:id="rId18" name="btnOpenWebPage">
          <controlPr defaultSize="0" autoLine="0" autoPict="0" r:id="rId19">
            <anchor moveWithCells="1">
              <from>
                <xdr:col>5</xdr:col>
                <xdr:colOff>213360</xdr:colOff>
                <xdr:row>20</xdr:row>
                <xdr:rowOff>38100</xdr:rowOff>
              </from>
              <to>
                <xdr:col>8</xdr:col>
                <xdr:colOff>114300</xdr:colOff>
                <xdr:row>22</xdr:row>
                <xdr:rowOff>175260</xdr:rowOff>
              </to>
            </anchor>
          </controlPr>
        </control>
      </mc:Choice>
      <mc:Fallback>
        <control shapeId="1034" r:id="rId18" name="btnOpenWebPage"/>
      </mc:Fallback>
    </mc:AlternateContent>
    <mc:AlternateContent xmlns:mc="http://schemas.openxmlformats.org/markup-compatibility/2006">
      <mc:Choice Requires="x14">
        <control shapeId="1045" r:id="rId20" name="btnAbout">
          <controlPr defaultSize="0" print="0" autoLine="0" r:id="rId21">
            <anchor moveWithCells="1">
              <from>
                <xdr:col>7</xdr:col>
                <xdr:colOff>365760</xdr:colOff>
                <xdr:row>0</xdr:row>
                <xdr:rowOff>30480</xdr:rowOff>
              </from>
              <to>
                <xdr:col>8</xdr:col>
                <xdr:colOff>99060</xdr:colOff>
                <xdr:row>0</xdr:row>
                <xdr:rowOff>381000</xdr:rowOff>
              </to>
            </anchor>
          </controlPr>
        </control>
      </mc:Choice>
      <mc:Fallback>
        <control shapeId="1045" r:id="rId20" name="btnAbout"/>
      </mc:Fallback>
    </mc:AlternateContent>
  </controls>
  <webPublishItems count="135">
    <webPublishItem id="28221" divId="dr_schedule_28221" sourceType="range" sourceRef="B1:D44" destinationFile="D:\Filer\Programmering\Projects\Excel-Dr-Schedule\static\Fredag.html"/>
    <webPublishItem id="16483" divId="dr_schedule_16483" sourceType="range" sourceRef="B1:D44" destinationFile="D:\Filer\Programmering\Projects\Excel-Dr-Schedule\static\Fredag.html"/>
    <webPublishItem id="16157" divId="dr_schedule_16157" sourceType="range" sourceRef="B1:D44" destinationFile="D:\Filer\Programmering\Projects\Excel-Dr-Schedule\static\Torsdag.html"/>
    <webPublishItem id="1355" divId="dr_schedule_1355" sourceType="range" sourceRef="B1:D44" destinationFile="D:\Filer\Programmering\Projects\Excel-Dr-Schedule\static\Torsdag.html"/>
    <webPublishItem id="12597" divId="dr_schedule_12597" sourceType="range" sourceRef="B1:D44" destinationFile="D:\Filer\Programmering\Projects\Excel-Dr-Schedule\static\Måndag.html"/>
    <webPublishItem id="12996" divId="dr_schedule_12996" sourceType="range" sourceRef="B1:D44" destinationFile="D:\Filer\Programmering\Projects\Excel-Dr-Schedule\static\Tisdag.html"/>
    <webPublishItem id="14740" divId="dr_schedule_14740" sourceType="range" sourceRef="B1:D44" destinationFile="D:\Filer\Programmering\Projects\Excel-Dr-Schedule\static\Tisdag.html"/>
    <webPublishItem id="16877" divId="dr_schedule_16877" sourceType="range" sourceRef="B1:D44" destinationFile="D:\Filer\Programmering\Projects\Excel-Dr-Schedule\static\Onsdag.html"/>
    <webPublishItem id="17160" divId="dr_schedule_17160" sourceType="range" sourceRef="B1:D44" destinationFile="D:\Filer\Programmering\Projects\Excel-Dr-Schedule\static\Torsdag.html"/>
    <webPublishItem id="17385" divId="dr_schedule_17385" sourceType="range" sourceRef="B1:D44" destinationFile="D:\Filer\Programmering\Projects\Excel-Dr-Schedule\static\Fredag.html"/>
    <webPublishItem id="13391" divId="dr_schedule_13391" sourceType="range" sourceRef="B1:D44" destinationFile="D:\Filer\Programmering\Projects\Excel-Dr-Schedule\static\Söndag.html"/>
    <webPublishItem id="153" divId="dr_schedule_153" sourceType="range" sourceRef="B1:D44" destinationFile="D:\Filer\Programmering\Projects\Excel-Dr-Schedule\static\Måndag.html"/>
    <webPublishItem id="1286" divId="dr_schedule_1286" sourceType="range" sourceRef="B1:D44" destinationFile="D:\Filer\Programmering\Projects\Excel-Dr-Schedule\static\Måndag.html"/>
    <webPublishItem id="7500" divId="dr_schedule_7500" sourceType="range" sourceRef="B1:D44" destinationFile="D:\Filer\Programmering\Projects\Excel-Dr-Schedule\static\Måndag.html"/>
    <webPublishItem id="8280" divId="dr_schedule_8280" sourceType="range" sourceRef="B1:D44" destinationFile="D:\Filer\Programmering\Projects\Excel-Dr-Schedule\static\Måndag.html"/>
    <webPublishItem id="17392" divId="dr_schedule_17392" sourceType="range" sourceRef="B1:D44" destinationFile="D:\Filer\Programmering\Projects\Excel-Dr-Schedule\static\Måndag.html"/>
    <webPublishItem id="100" divId="dr_schedule_100" sourceType="range" sourceRef="B1:D44" destinationFile="D:\Filer\Programmering\Projects\Excel-Dr-Schedule\static\Torsdag.html"/>
    <webPublishItem id="4540" divId="dr_schedule_4540" sourceType="range" sourceRef="B1:D44" destinationFile="D:\Filer\Programmering\Projects\Excel-Dr-Schedule\static\Torsdag.html"/>
    <webPublishItem id="9841" divId="dr_schedule_9841" sourceType="range" sourceRef="B1:D44" destinationFile="D:\Filer\Programmering\Projects\Excel-Dr-Schedule\static\Torsdag.html"/>
    <webPublishItem id="14600" divId="dr_schedule_14600" sourceType="range" sourceRef="B1:D44" destinationFile="D:\Filer\Programmering\Projects\Excel-Dr-Schedule\static\Torsdag.html"/>
    <webPublishItem id="15698" divId="dr_schedule_15698" sourceType="range" sourceRef="B1:D44" destinationFile="D:\Filer\Programmering\Projects\Excel-Dr-Schedule\static\Torsdag.html"/>
    <webPublishItem id="26769" divId="dr_schedule_26769" sourceType="range" sourceRef="B1:D44" destinationFile="D:\Filer\Programmering\Projects\Excel-Dr-Schedule\static\Torsdag.html"/>
    <webPublishItem id="29274" divId="dr_schedule_29274" sourceType="range" sourceRef="B1:D44" destinationFile="D:\Filer\Programmering\Projects\Excel-Dr-Schedule\static\Torsdag.html"/>
    <webPublishItem id="27524" divId="dr_schedule_27524" sourceType="range" sourceRef="B1:D44" destinationFile="D:\Filer\Programmering\Projects\Excel-Dr-Schedule\static\Torsdag.html"/>
    <webPublishItem id="25500" divId="dr_schedule_25500" sourceType="range" sourceRef="B1:D44" destinationFile="D:\Filer\Programmering\Projects\Excel-Dr-Schedule\static\Torsdag.html"/>
    <webPublishItem id="25599" divId="dr_schedule_25599" sourceType="range" sourceRef="B1:D44" destinationFile="D:\Filer\Programmering\Projects\Excel-Dr-Schedule\static\Fredag.html"/>
    <webPublishItem id="32346" divId="dr_schedule_32346" sourceType="range" sourceRef="B1:D44" destinationFile="D:\Filer\Programmering\Projects\Excel-Dr-Schedule\static\Fredag.html"/>
    <webPublishItem id="2687" divId="dr_schedule_2687" sourceType="range" sourceRef="B1:D44" destinationFile="D:\Filer\Programmering\Projects\Excel-Dr-Schedule\static\Fredag.html"/>
    <webPublishItem id="4508" divId="dr_schedule_4508" sourceType="range" sourceRef="B1:D44" destinationFile="D:\Filer\Programmering\Projects\Excel-Dr-Schedule\static\Fredag.html"/>
    <webPublishItem id="6577" divId="dr_schedule_6577" sourceType="range" sourceRef="B1:D44" destinationFile="D:\Filer\Programmering\Projects\Excel-Dr-Schedule\static\Fredag.html"/>
    <webPublishItem id="12382" divId="dr_schedule_12382" sourceType="range" sourceRef="B1:D44" destinationFile="D:\Filer\Programmering\Projects\Excel-Dr-Schedule\static\Måndag.html"/>
    <webPublishItem id="12611" divId="dr_schedule_12611" sourceType="range" sourceRef="B1:D44" destinationFile="D:\Filer\Programmering\Projects\Excel-Dr-Schedule\static\Tisdag.html"/>
    <webPublishItem id="12848" divId="dr_schedule_12848" sourceType="range" sourceRef="B1:D44" destinationFile="D:\Filer\Programmering\Projects\Excel-Dr-Schedule\static\Onsdag.html"/>
    <webPublishItem id="13088" divId="dr_schedule_13088" sourceType="range" sourceRef="B1:D44" destinationFile="D:\Filer\Programmering\Projects\Excel-Dr-Schedule\static\Torsdag.html"/>
    <webPublishItem id="19124" divId="dr_schedule_19124" sourceType="range" sourceRef="B1:D44" destinationFile="D:\Filer\Programmering\Projects\Excel-Dr-Schedule\static\Måndag.html"/>
    <webPublishItem id="28546" divId="dr_schedule_28546" sourceType="range" sourceRef="B1:D44" destinationFile="D:\Filer\Programmering\Projects\Excel-Dr-Schedule\static\Måndag.html"/>
    <webPublishItem id="31553" divId="dr_schedule_31553" sourceType="range" sourceRef="B1:D44" destinationFile="D:\Filer\Programmering\Projects\Excel-Dr-Schedule\static\Måndag.html"/>
    <webPublishItem id="32119" divId="dr_schedule_32119" sourceType="range" sourceRef="B1:D44" destinationFile="D:\Filer\Programmering\Projects\Excel-Dr-Schedule\static\Tisdag.html"/>
    <webPublishItem id="1099" divId="dr_schedule_1099" sourceType="range" sourceRef="B1:D44" destinationFile="D:\Filer\Programmering\Projects\Excel-Dr-Schedule\static\Onsdag.html"/>
    <webPublishItem id="1373" divId="dr_schedule_1373" sourceType="range" sourceRef="B1:D44" destinationFile="D:\Filer\Programmering\Projects\Excel-Dr-Schedule\static\Torsdag.html"/>
    <webPublishItem id="1625" divId="dr_schedule_1625" sourceType="range" sourceRef="B1:D44" destinationFile="D:\Filer\Programmering\Projects\Excel-Dr-Schedule\static\Fredag.html"/>
    <webPublishItem id="9650" divId="dr_schedule_9650" sourceType="range" sourceRef="B1:D44" destinationFile="D:\Filer\Programmering\Projects\Excel-Dr-Schedule\static\Torsdag.html"/>
    <webPublishItem id="12701" divId="läkarbemanning_12701" sourceType="range" sourceRef="B1:D46" destinationFile="C:\Users\andth13\Desktop\Läkarbemanning_excel\test.html"/>
    <webPublishItem id="28568" divId="läkarbemanning_28568" sourceType="range" sourceRef="B1:D46" destinationFile="C:\Users\andth13\Desktop\Läkarbemanning_excel\test.html"/>
    <webPublishItem id="5245" divId="läkarbemanning_5245" sourceType="range" sourceRef="B1:D46" destinationFile="C:\Users\andth13\Desktop\Läkarbemanning_excel\test.html"/>
    <webPublishItem id="30507" divId="läkarbemanning_30507" sourceType="range" sourceRef="B1:D46" destinationFile="C:\Users\andth13\Desktop\Läkarbemanning_excel\test.html"/>
    <webPublishItem id="30902" divId="läkarbemanning_30902" sourceType="range" sourceRef="B1:D46" destinationFile="C:\Users\andth13\Desktop\Läkarbemanning_excel\test.html"/>
    <webPublishItem id="3614" divId="läkarbemanning_3614" sourceType="range" sourceRef="B1:D46" destinationFile="H:\Mina dokument\DOKUMENT\Mina medicinska dokument\Mina_program\Läkarbemanning_excel\Egna webbsida filer\test.html"/>
    <webPublishItem id="28619" divId="läkarbemanning_28619" sourceType="range" sourceRef="B1:D46" destinationFile="G:\SkaS.OmrKir.AnOpIva.Lakarbemanning\Läkarbemanning\Exel bemanning 2.0\Egna webbsida filer\test.html"/>
    <webPublishItem id="22432" divId="läkarbemanning_22432" sourceType="range" sourceRef="B1:D46" destinationFile="G:\SkaS.OmrKir.AnOpIva.Lakarbemanning\Läkarbemanning\Exel bemanning 2.0\Egna webbsida filer\läkarbemanning.html"/>
    <webPublishItem id="22530" divId="läkarbemanning_22530" sourceType="range" sourceRef="B1:D46" destinationFile="G:\SkaS.OmrKir.AnOpIva.Lakarbemanning\Läkarbemanning\Exel bemanning 2.0\Egna webbsida filer\Måndag.html"/>
    <webPublishItem id="26826" divId="läkarbemanning_26826" sourceType="range" sourceRef="B1:D46" destinationFile="G:\SkaS.OmrKir.AnOpIva.Lakarbemanning\Läkarbemanning\Exel bemanning 2.0\Egna webbsida filer\läkarbemanning.html"/>
    <webPublishItem id="26932" divId="läkarbemanning_26932" sourceType="range" sourceRef="B1:D46" destinationFile="G:\SkaS.OmrKir.AnOpIva.Lakarbemanning\Läkarbemanning\Exel bemanning 2.0\Egna webbsida filer\Måndag.html"/>
    <webPublishItem id="21207" divId="läkarbemanning_21207" sourceType="range" sourceRef="B1:D46" destinationFile="G:\SkaS.OmrKir.AnOpIva.Lakarbemanning\Läkarbemanning\Exel bemanning 2.0\Egna webbsida filer\läkarbemanning.html"/>
    <webPublishItem id="21284" divId="läkarbemanning_21284" sourceType="range" sourceRef="B1:D46" destinationFile="G:\SkaS.OmrKir.AnOpIva.Lakarbemanning\Läkarbemanning\Exel bemanning 2.0\Egna webbsida filer\Måndag.html"/>
    <webPublishItem id="6257" divId="läkarbemanning_6257" sourceType="range" sourceRef="B1:D46" destinationFile="G:\SkaS.OmrKir.AnOpIva.Lakarbemanning\Läkarbemanning\Exel bemanning 2.0\Egna webbsida filer\läkarbemanning.html"/>
    <webPublishItem id="6379" divId="läkarbemanning_6379" sourceType="range" sourceRef="B1:D46" destinationFile="G:\SkaS.OmrKir.AnOpIva.Lakarbemanning\Läkarbemanning\Exel bemanning 2.0\Egna webbsida filer\Måndag.html"/>
    <webPublishItem id="7124" divId="läkarbemanning_7124" sourceType="range" sourceRef="B1:D46" destinationFile="G:\SkaS.OmrKir.AnOpIva.Lakarbemanning\Läkarbemanning\Exel bemanning 2.0\Egna webbsida filer\läkarbemanning.html"/>
    <webPublishItem id="7228" divId="läkarbemanning_7228" sourceType="range" sourceRef="B1:D46" destinationFile="G:\SkaS.OmrKir.AnOpIva.Lakarbemanning\Läkarbemanning\Exel bemanning 2.0\Egna webbsida filer\Måndag.html"/>
    <webPublishItem id="17498" divId="läkarbemanning_17498" sourceType="range" sourceRef="B1:D46" destinationFile="G:\SkaS.OmrKir.AnOpIva.Lakarbemanning\Läkarbemanning\Exel bemanning 2.0\Egna webbsida filer\läkarbemanning.html"/>
    <webPublishItem id="17593" divId="läkarbemanning_17593" sourceType="range" sourceRef="B1:D46" destinationFile="G:\SkaS.OmrKir.AnOpIva.Lakarbemanning\Läkarbemanning\Exel bemanning 2.0\Egna webbsida filer\Måndag.html"/>
    <webPublishItem id="20632" divId="läkarbemanning_20632" sourceType="range" sourceRef="B1:D46" destinationFile="G:\SkaS.OmrKir.AnOpIva.Lakarbemanning\Läkarbemanning\Exel bemanning 2.0\Egna webbsida filer\läkarbemanning.html"/>
    <webPublishItem id="20728" divId="läkarbemanning_20728" sourceType="range" sourceRef="B1:D46" destinationFile="G:\SkaS.OmrKir.AnOpIva.Lakarbemanning\Läkarbemanning\Exel bemanning 2.0\Egna webbsida filer\Måndag.html"/>
    <webPublishItem id="23437" divId="läkarbemanning_23437" sourceType="range" sourceRef="B1:D46" destinationFile="G:\SkaS.OmrKir.AnOpIva.Lakarbemanning\Läkarbemanning\Exel bemanning 2.0\Egna webbsida filer\läkarbemanning.html"/>
    <webPublishItem id="23539" divId="läkarbemanning_23539" sourceType="range" sourceRef="B1:D46" destinationFile="G:\SkaS.OmrKir.AnOpIva.Lakarbemanning\Läkarbemanning\Exel bemanning 2.0\Egna webbsida filer\Måndag.html"/>
    <webPublishItem id="25899" divId="läkarbemanning_25899" sourceType="range" sourceRef="B1:D46" destinationFile="G:\SkaS.OmrKir.AnOpIva.Lakarbemanning\Läkarbemanning\Exel bemanning 2.0\Egna webbsida filer\läkarbemanning.html"/>
    <webPublishItem id="26023" divId="läkarbemanning_26023" sourceType="range" sourceRef="B1:D46" destinationFile="G:\SkaS.OmrKir.AnOpIva.Lakarbemanning\Läkarbemanning\Exel bemanning 2.0\Egna webbsida filer\Måndag.html"/>
    <webPublishItem id="26441" divId="läkarbemanning_26441" sourceType="range" sourceRef="B1:D46" destinationFile="G:\SkaS.OmrKir.AnOpIva.Lakarbemanning\Läkarbemanning\Exel bemanning 2.0\Egna webbsida filer\läkarbemanning.html"/>
    <webPublishItem id="3298" divId="läkarbemanning_3298" sourceType="range" sourceRef="B1:D46" destinationFile="G:\SkaS.OmrKir.AnOpIva.Lakarbemanning\Läkarbemanning\Exel bemanning 2.0\Egna webbsida filer\läkarbemanning.html"/>
    <webPublishItem id="7678" divId="läkarbemanning_7678" sourceType="range" sourceRef="B1:D46" destinationFile="G:\SkaS.OmrKir.AnOpIva.Lakarbemanning\Läkarbemanning\Exel bemanning 2.0\Egna webbsida filer\läkarbemanning.html"/>
    <webPublishItem id="7800" divId="läkarbemanning_7800" sourceType="range" sourceRef="B1:D46" destinationFile="G:\SkaS.OmrKir.AnOpIva.Lakarbemanning\Läkarbemanning\Exel bemanning 2.0\Egna webbsida filer\Onsdag.html"/>
    <webPublishItem id="18504" divId="läkarbemanning_18504" sourceType="range" sourceRef="B1:D46" destinationFile="G:\SkaS.OmrKir.AnOpIva.Lakarbemanning\Läkarbemanning\Exel bemanning 2.0\Egna webbsida filer\Läkarbemanning.html"/>
    <webPublishItem id="18630" divId="läkarbemanning_18630" sourceType="range" sourceRef="B1:D46" destinationFile="G:\SkaS.OmrKir.AnOpIva.Lakarbemanning\Läkarbemanning\Exel bemanning 2.0\Egna webbsida filer\Onsdag.html"/>
    <webPublishItem id="19834" divId="läkarbemanning_19834" sourceType="range" sourceRef="B1:D46" destinationFile="G:\SkaS.OmrKir.AnOpIva.Lakarbemanning\Läkarbemanning\Exel bemanning 2.0\Egna webbsida filer\Läkarbemanning.html"/>
    <webPublishItem id="19942" divId="läkarbemanning_19942" sourceType="range" sourceRef="B1:D46" destinationFile="G:\SkaS.OmrKir.AnOpIva.Lakarbemanning\Läkarbemanning\Exel bemanning 2.0\Egna webbsida filer\Onsdag.html"/>
    <webPublishItem id="9389" divId="läkarbemanning_9389" sourceType="range" sourceRef="B1:D46" destinationFile="G:\SkaS.OmrKir.AnOpIva.Lakarbemanning\Läkarbemanning\Exel bemanning 2.0\Egna webbsida filer\Läkarbemanning.html"/>
    <webPublishItem id="9407" divId="läkarbemanning_9407" sourceType="range" sourceRef="B1:D46" destinationFile="G:\SkaS.OmrKir.AnOpIva.Lakarbemanning\Läkarbemanning\Exel bemanning 2.0\Egna webbsida filer\Onsdag.html"/>
    <webPublishItem id="2166" divId="läkarbemanning_dev_2166" sourceType="range" sourceRef="B1:D46" destinationFile="H:\Mina dokument\DOKUMENT\Mina medicinska dokument\Mina_program\Läkarbemanning_excel\Egna webbsida filer\Läkarbemanning.html"/>
    <webPublishItem id="8104" divId="läkarbemanning_dev_8104" sourceType="range" sourceRef="B1:D46" destinationFile="H:\Mina dokument\DOKUMENT\Mina medicinska dokument\Mina_program\Läkarbemanning_excel\Egna webbsida filer\Läkarbemanning.html"/>
    <webPublishItem id="17518" divId="läkarbemanning_dev_17518" sourceType="range" sourceRef="B1:D46" destinationFile="H:\Mina dokument\DOKUMENT\Mina medicinska dokument\Mina_program\Läkarbemanning_excel\Egna webbsida filer\Läkarbemanning.html"/>
    <webPublishItem id="29702" divId="läkarbemanning_dev_29702" sourceType="range" sourceRef="B1:D46" destinationFile="H:\Mina dokument\DOKUMENT\Mina medicinska dokument\Mina_program\Läkarbemanning_excel\Egna webbsida filer\Läkarbemanning.html"/>
    <webPublishItem id="23848" divId="läkarbemanning_dev_23848" sourceType="range" sourceRef="B1:D46" destinationFile="H:\Mina dokument\DOKUMENT\Mina medicinska dokument\Mina_program\Läkarbemanning_excel\Egna webbsida filer\Läkarbemanning.html"/>
    <webPublishItem id="18390" divId="läkarbemanning_dev_18390" sourceType="range" sourceRef="B1:D46" destinationFile="H:\Mina dokument\DOKUMENT\Mina medicinska dokument\Mina_program\Läkarbemanning_excel\Egna webbsida filer\Läkarbemanning.html"/>
    <webPublishItem id="18498" divId="läkarbemanning_dev_18498" sourceType="range" sourceRef="B1:D46" destinationFile="H:\Mina dokument\DOKUMENT\Mina medicinska dokument\Mina_program\Läkarbemanning_excel\Egna webbsida filer\Onsdag.html"/>
    <webPublishItem id="19209" divId="läkarbemanning_dev_19209" sourceType="range" sourceRef="B1:D46" destinationFile="H:\Mina dokument\DOKUMENT\Mina medicinska dokument\Mina_program\Läkarbemanning_excel\Egna webbsida filer\Läkarbemanning.html"/>
    <webPublishItem id="19297" divId="läkarbemanning_dev_19297" sourceType="range" sourceRef="B1:D46" destinationFile="H:\Mina dokument\DOKUMENT\Mina medicinska dokument\Mina_program\Läkarbemanning_excel\Egna webbsida filer\Onsdag.html"/>
    <webPublishItem id="20747" divId="läkarbemanning_dev_20747" sourceType="range" sourceRef="B1:D46" destinationFile="H:\Mina dokument\DOKUMENT\Mina medicinska dokument\Mina_program\Läkarbemanning_excel\Egna webbsida filer\Läkarbemanning.html"/>
    <webPublishItem id="24294" divId="läkarbemanning_dev_24294" sourceType="range" sourceRef="B1:D46" destinationFile="H:\Mina dokument\DOKUMENT\Mina medicinska dokument\Mina_program\Läkarbemanning_excel\Egna webbsida filer\Läkarbemanning.html"/>
    <webPublishItem id="27381" divId="läkarbemanning_dev_27381" sourceType="range" sourceRef="B1:D46" destinationFile="H:\Mina dokument\DOKUMENT\Mina medicinska dokument\Mina_program\Läkarbemanning_excel\Egna webbsida filer\Läkarbemanning.html"/>
    <webPublishItem id="27498" divId="läkarbemanning_dev_27498" sourceType="range" sourceRef="B1:D46" destinationFile="H:\Mina dokument\DOKUMENT\Mina medicinska dokument\Mina_program\Läkarbemanning_excel\Egna webbsida filer\Onsdag.html"/>
    <webPublishItem id="27897" divId="läkarbemanning_dev_27897" sourceType="range" sourceRef="B1:D46" destinationFile="H:\Mina dokument\DOKUMENT\Mina medicinska dokument\Mina_program\Läkarbemanning_excel\Egna webbsida filer\Läkarbemanning.html"/>
    <webPublishItem id="30035" divId="läkarbemanning_dev_30035" sourceType="range" sourceRef="B1:D46" destinationFile="H:\Mina dokument\DOKUMENT\Mina medicinska dokument\Mina_program\Läkarbemanning_excel\Egna webbsida filer\Läkarbemanning.html"/>
    <webPublishItem id="31406" divId="läkarbemanning_dev_31406" sourceType="range" sourceRef="B1:D46" destinationFile="H:\Mina dokument\DOKUMENT\Mina medicinska dokument\Mina_program\Läkarbemanning_excel\Egna webbsida filer\Läkarbemanning.html"/>
    <webPublishItem id="31507" divId="läkarbemanning_dev_31507" sourceType="range" sourceRef="B1:D46" destinationFile="H:\Mina dokument\DOKUMENT\Mina medicinska dokument\Mina_program\Läkarbemanning_excel\Egna webbsida filer\Onsdag.html"/>
    <webPublishItem id="32477" divId="läkarbemanning_dev_32477" sourceType="range" sourceRef="B1:D46" destinationFile="H:\Mina dokument\DOKUMENT\Mina medicinska dokument\Mina_program\Läkarbemanning_excel\Egna webbsida filer\Läkarbemanning.html"/>
    <webPublishItem id="32590" divId="läkarbemanning_dev_32590" sourceType="range" sourceRef="B1:D46" destinationFile="H:\Mina dokument\DOKUMENT\Mina medicinska dokument\Mina_program\Läkarbemanning_excel\Egna webbsida filer\Onsdag.html"/>
    <webPublishItem id="876" divId="läkarbemanning_dev_876" sourceType="range" sourceRef="B1:D46" destinationFile="H:\Mina dokument\DOKUMENT\Mina medicinska dokument\Mina_program\Läkarbemanning_excel\Egna webbsida filer\Läkarbemanning.html"/>
    <webPublishItem id="1223" divId="läkarbemanning_dev_1223" sourceType="range" sourceRef="B1:D46" destinationFile="H:\Mina dokument\DOKUMENT\Mina medicinska dokument\Mina_program\Läkarbemanning_excel\Egna webbsida filer\Läkarbemanning.html"/>
    <webPublishItem id="1323" divId="läkarbemanning_dev_1323" sourceType="range" sourceRef="B1:D46" destinationFile="H:\Mina dokument\DOKUMENT\Mina medicinska dokument\Mina_program\Läkarbemanning_excel\Egna webbsida filer\Onsdag.html"/>
    <webPublishItem id="12815" divId="läkarbemanning_dev_12815" sourceType="range" sourceRef="B1:D46" destinationFile="H:\Mina dokument\DOKUMENT\Mina medicinska dokument\Mina_program\Läkarbemanning_excel\Egna webbsida filer\Läkarbemanning.html"/>
    <webPublishItem id="12916" divId="läkarbemanning_dev_12916" sourceType="range" sourceRef="B1:D46" destinationFile="H:\Mina dokument\DOKUMENT\Mina medicinska dokument\Mina_program\Läkarbemanning_excel\Egna webbsida filer\Onsdag.html"/>
    <webPublishItem id="13247" divId="läkarbemanning_dev_13247" sourceType="range" sourceRef="B1:D46" destinationFile="H:\Mina dokument\DOKUMENT\Mina medicinska dokument\Mina_program\Läkarbemanning_excel\Egna webbsida filer\Läkarbemanning.html"/>
    <webPublishItem id="13370" divId="läkarbemanning_dev_13370" sourceType="range" sourceRef="B1:D46" destinationFile="H:\Mina dokument\DOKUMENT\Mina medicinska dokument\Mina_program\Läkarbemanning_excel\Egna webbsida filer\Läkarbemanning.html"/>
    <webPublishItem id="13557" divId="läkarbemanning_dev_13557" sourceType="range" sourceRef="B1:D46" destinationFile="H:\Mina dokument\DOKUMENT\Mina medicinska dokument\Mina_program\Läkarbemanning_excel\Egna webbsida filer\Läkarbemanning.html"/>
    <webPublishItem id="13659" divId="läkarbemanning_dev_13659" sourceType="range" sourceRef="B1:D46" destinationFile="H:\Mina dokument\DOKUMENT\Mina medicinska dokument\Mina_program\Läkarbemanning_excel\Egna webbsida filer\Läkarbemanning.html"/>
    <webPublishItem id="13954" divId="läkarbemanning_dev_13954" sourceType="range" sourceRef="B1:D46" destinationFile="H:\Mina dokument\DOKUMENT\Mina medicinska dokument\Mina_program\Läkarbemanning_excel\Egna webbsida filer\Läkarbemanning.html"/>
    <webPublishItem id="14051" divId="läkarbemanning_dev_14051" sourceType="range" sourceRef="B1:D46" destinationFile="H:\Mina dokument\DOKUMENT\Mina medicinska dokument\Mina_program\Läkarbemanning_excel\Egna webbsida filer\Onsdag.html"/>
    <webPublishItem id="32558" divId="läkarbemanning_dev_32558" sourceType="range" sourceRef="B1:D46" destinationFile="H:\Mina dokument\DOKUMENT\Mina medicinska dokument\Mina_program\Läkarbemanning_excel\Egna webbsida filer\Läkarbemanning.html"/>
    <webPublishItem id="32673" divId="läkarbemanning_dev_32673" sourceType="range" sourceRef="B1:D46" destinationFile="H:\Mina dokument\DOKUMENT\Mina medicinska dokument\Mina_program\Läkarbemanning_excel\Egna webbsida filer\Onsdag.html"/>
    <webPublishItem id="167" divId="läkarbemanning_dev_167" sourceType="range" sourceRef="B1:D46" destinationFile="H:\Mina dokument\DOKUMENT\Mina medicinska dokument\Mina_program\Läkarbemanning_excel\Egna webbsida filer\Läkarbemanning.html"/>
    <webPublishItem id="263" divId="läkarbemanning_dev_263" sourceType="range" sourceRef="B1:D46" destinationFile="H:\Mina dokument\DOKUMENT\Mina medicinska dokument\Mina_program\Läkarbemanning_excel\Egna webbsida filer\Onsdag.html"/>
    <webPublishItem id="5155" divId="läkarbemanning_dev_5155" sourceType="range" sourceRef="B1:D46" destinationFile="H:\Mina dokument\DOKUMENT\Mina medicinska dokument\Mina_program\Läkarbemanning_excel\Egna webbsida filer\Läkarbemanning.html"/>
    <webPublishItem id="5254" divId="läkarbemanning_dev_5254" sourceType="range" sourceRef="B1:D46" destinationFile="H:\Mina dokument\DOKUMENT\Mina medicinska dokument\Mina_program\Läkarbemanning_excel\Egna webbsida filer\Onsdag.html"/>
    <webPublishItem id="20024" divId="läkarbemanning_dev_20024" sourceType="range" sourceRef="B1:D46" destinationFile="H:\Mina dokument\DOKUMENT\Mina medicinska dokument\Mina_program\Läkarbemanning_excel\Egna webbsida filer\Läkarbemanning.html"/>
    <webPublishItem id="20116" divId="läkarbemanning_dev_20116" sourceType="range" sourceRef="B1:D46" destinationFile="H:\Mina dokument\DOKUMENT\Mina medicinska dokument\Mina_program\Läkarbemanning_excel\Egna webbsida filer\Torsdag.html"/>
    <webPublishItem id="27094" divId="läkarbemanning_dev_27094" sourceType="range" sourceRef="B1:D46" destinationFile="H:\Mina dokument\DOKUMENT\Mina medicinska dokument\Mina_program\Läkarbemanning_excel\Egna webbsida filer\Läkarbemanning.html"/>
    <webPublishItem id="27198" divId="läkarbemanning_dev_27198" sourceType="range" sourceRef="B1:D46" destinationFile="H:\Mina dokument\DOKUMENT\Mina medicinska dokument\Mina_program\Läkarbemanning_excel\Egna webbsida filer\Torsdag.html"/>
    <webPublishItem id="22602" divId="läkarbemanning_dev_22602" sourceType="range" sourceRef="B1:D46" destinationFile="\\vgregion.se\Hem\SKO-A\andth13\Mina dokument\DOKUMENT\Mina medicinska dokument\Mina_program\Läkarbemanning_excel\Egna webbsida filer\Läkarbemanning.html"/>
    <webPublishItem id="22691" divId="läkarbemanning_dev_22691" sourceType="range" sourceRef="B1:D46" destinationFile="\\vgregion.se\Hem\SKO-A\andth13\Mina dokument\DOKUMENT\Mina medicinska dokument\Mina_program\Läkarbemanning_excel\Egna webbsida filer\Torsdag.html"/>
    <webPublishItem id="19933" divId="läkarbemanning_dev_19933" sourceType="range" sourceRef="B1:D46" destinationFile="\\vgregion.se\Hem\SKO-A\andth13\Mina dokument\DOKUMENT\Mina medicinska dokument\Mina_program\Läkarbemanning_excel\Egna webbsida filer\Läkarbemanning.html"/>
    <webPublishItem id="19959" divId="läkarbemanning_dev_19959" sourceType="range" sourceRef="B1:D46" destinationFile="\\vgregion.se\Hem\SKO-A\andth13\Mina dokument\DOKUMENT\Mina medicinska dokument\Mina_program\Läkarbemanning_excel\Egna webbsida filer\Torsdag.html"/>
    <webPublishItem id="6964" divId="läkarbemanning_dev_6964" sourceType="range" sourceRef="B1:D46" destinationFile="\\vgregion.se\Hem\SKO-A\andth13\Mina dokument\DOKUMENT\Mina medicinska dokument\Mina_program\Läkarbemanning_excel\Egna webbsida filer\Läkarbemanning.html"/>
    <webPublishItem id="7080" divId="läkarbemanning_dev_7080" sourceType="range" sourceRef="B1:D46" destinationFile="\\vgregion.se\Hem\SKO-A\andth13\Mina dokument\DOKUMENT\Mina medicinska dokument\Mina_program\Läkarbemanning_excel\Egna webbsida filer\Torsdag.html"/>
    <webPublishItem id="20571" divId="läkarbemanning_dev_20571" sourceType="range" sourceRef="B1:D46" destinationFile="\\vgregion.se\Hem\SKO-A\andth13\Mina dokument\DOKUMENT\Mina medicinska dokument\Mina_program\Läkarbemanning_excel\Egna webbsida filer\Läkarbemanning.html"/>
    <webPublishItem id="20593" divId="läkarbemanning_dev_20593" sourceType="range" sourceRef="B1:D46" destinationFile="\\vgregion.se\Hem\SKO-A\andth13\Mina dokument\DOKUMENT\Mina medicinska dokument\Mina_program\Läkarbemanning_excel\Egna webbsida filer\Torsdag.html"/>
    <webPublishItem id="20993" divId="läkarbemanning_dev_20993" sourceType="range" sourceRef="B1:D46" destinationFile="\\vgregion.se\Hem\SKO-A\andth13\Mina dokument\DOKUMENT\Mina medicinska dokument\Mina_program\Läkarbemanning_excel\Egna webbsida filer\Läkarbemanning.html"/>
    <webPublishItem id="21010" divId="läkarbemanning_dev_21010" sourceType="range" sourceRef="B1:D46" destinationFile="\\vgregion.se\Hem\SKO-A\andth13\Mina dokument\DOKUMENT\Mina medicinska dokument\Mina_program\Läkarbemanning_excel\Egna webbsida filer\Torsdag.html"/>
    <webPublishItem id="3249" divId="läkarbemanning_dev_3249" sourceType="range" sourceRef="B1:D46" destinationFile="\\vgregion.se\Hem\SKO-A\andth13\Mina dokument\DOKUMENT\Mina medicinska dokument\Mina_program\Läkarbemanning_excel\Egna webbsida filer\Läkarbemanning.html"/>
    <webPublishItem id="3280" divId="läkarbemanning_dev_3280" sourceType="range" sourceRef="B1:D46" destinationFile="\\vgregion.se\Hem\SKO-A\andth13\Mina dokument\DOKUMENT\Mina medicinska dokument\Mina_program\Läkarbemanning_excel\Egna webbsida filer\Torsdag.html"/>
    <webPublishItem id="12725" divId="dr_schedule_12725" sourceType="range" sourceRef="B1:D46" destinationFile="D:\Filer\Programmering\Projects\Excel-Dr-Schedule\static\Torsdag.html"/>
    <webPublishItem id="13932" divId="dr_schedule_13932" sourceType="range" sourceRef="B1:D46" destinationFile="D:\Filer\Programmering\Projects\Excel-Dr-Schedule\static\Tisdag.html"/>
    <webPublishItem id="14766" divId="dr_schedule_14766" sourceType="range" sourceRef="B1:D46" destinationFile="D:\Filer\Programmering\Projects\Excel-Dr-Schedule\static\Måndag.html"/>
    <webPublishItem id="15254" divId="dr_schedule_15254" sourceType="range" sourceRef="B1:D46" destinationFile="D:\Filer\Programmering\Projects\Excel-Dr-Schedule\static\Fredag.html"/>
    <webPublishItem id="21323" divId="dr_schedule_21323" sourceType="range" sourceRef="B1:D46" destinationFile="D:\Filer\Programmering\Projects\Excel-Dr-Schedule\static\Torsdag.html"/>
    <webPublishItem id="3812" divId="dr_schedule_3812" sourceType="range" sourceRef="B1:D46" destinationFile="https://vgregion-my.sharepoint.com/personal/andth13_vgregion_se/Documents/Mina%20medicinska%20dokument/Mina_program/Excel-Dr-Schedule/static/Tisdag.html"/>
  </webPublishItems>
  <tableParts count="5">
    <tablePart r:id="rId23"/>
    <tablePart r:id="rId24"/>
    <tablePart r:id="rId25"/>
    <tablePart r:id="rId26"/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0263-F25D-4674-8A68-D49FB1E1EFD1}">
  <sheetPr codeName="Tabeller"/>
  <dimension ref="A1:K48"/>
  <sheetViews>
    <sheetView showGridLines="0" workbookViewId="0">
      <selection activeCell="A16" sqref="A16"/>
    </sheetView>
  </sheetViews>
  <sheetFormatPr defaultColWidth="9.109375" defaultRowHeight="18" x14ac:dyDescent="0.35"/>
  <cols>
    <col min="1" max="1" width="47.6640625" style="6" customWidth="1"/>
    <col min="2" max="2" width="8.6640625" style="3" customWidth="1"/>
    <col min="3" max="3" width="47.6640625" style="6" customWidth="1"/>
    <col min="4" max="4" width="8.6640625" style="6" customWidth="1"/>
    <col min="5" max="5" width="47.6640625" style="6" customWidth="1"/>
    <col min="6" max="6" width="8.6640625" style="6" customWidth="1"/>
    <col min="7" max="7" width="47.6640625" style="6" customWidth="1"/>
    <col min="8" max="8" width="8.6640625" style="6" customWidth="1"/>
    <col min="9" max="9" width="47.6640625" style="6" customWidth="1"/>
    <col min="10" max="10" width="8.6640625" style="3" customWidth="1"/>
    <col min="11" max="11" width="47.6640625" style="3" customWidth="1"/>
    <col min="12" max="16384" width="9.109375" style="3"/>
  </cols>
  <sheetData>
    <row r="1" spans="1:11" ht="18.75" customHeight="1" x14ac:dyDescent="0.3">
      <c r="A1" s="38" t="s">
        <v>53</v>
      </c>
      <c r="B1" s="38"/>
      <c r="C1" s="38"/>
      <c r="D1" s="38"/>
      <c r="E1" s="38"/>
      <c r="F1" s="38"/>
      <c r="G1" s="38"/>
      <c r="H1" s="19"/>
      <c r="I1" s="19"/>
      <c r="J1" s="19"/>
      <c r="K1" s="19"/>
    </row>
    <row r="2" spans="1:11" ht="18.75" customHeight="1" x14ac:dyDescent="0.3">
      <c r="A2" s="41" t="s">
        <v>57</v>
      </c>
      <c r="B2" s="41"/>
      <c r="C2" s="41"/>
      <c r="D2" s="41"/>
      <c r="E2" s="41"/>
      <c r="F2" s="41"/>
      <c r="G2" s="41"/>
      <c r="H2" s="19"/>
      <c r="I2" s="19"/>
      <c r="J2" s="19"/>
      <c r="K2" s="19"/>
    </row>
    <row r="3" spans="1:11" ht="18.75" customHeight="1" x14ac:dyDescent="0.3">
      <c r="A3" s="41" t="s">
        <v>54</v>
      </c>
      <c r="B3" s="41"/>
      <c r="C3" s="41"/>
      <c r="D3" s="41"/>
      <c r="E3" s="41"/>
      <c r="F3" s="41"/>
      <c r="G3" s="41"/>
      <c r="H3" s="19"/>
      <c r="I3" s="19"/>
      <c r="J3" s="19"/>
      <c r="K3" s="19"/>
    </row>
    <row r="4" spans="1:11" ht="18.75" customHeight="1" x14ac:dyDescent="0.3">
      <c r="A4" s="41" t="s">
        <v>55</v>
      </c>
      <c r="B4" s="41"/>
      <c r="C4" s="41"/>
      <c r="D4" s="41"/>
      <c r="E4" s="41"/>
      <c r="F4" s="41"/>
      <c r="G4" s="41"/>
      <c r="H4" s="19"/>
      <c r="I4" s="19"/>
      <c r="J4" s="19"/>
      <c r="K4" s="19"/>
    </row>
    <row r="5" spans="1:11" s="18" customFormat="1" ht="18.75" customHeight="1" x14ac:dyDescent="0.3">
      <c r="A5" s="41" t="s">
        <v>56</v>
      </c>
      <c r="B5" s="41"/>
      <c r="C5" s="41"/>
      <c r="D5" s="41"/>
      <c r="E5" s="41"/>
      <c r="F5" s="41"/>
      <c r="G5" s="41"/>
      <c r="H5" s="19"/>
      <c r="I5" s="19"/>
      <c r="J5" s="19"/>
      <c r="K5" s="19"/>
    </row>
    <row r="6" spans="1:11" s="18" customFormat="1" x14ac:dyDescent="0.3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</row>
    <row r="7" spans="1:11" ht="54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 x14ac:dyDescent="0.35">
      <c r="A9" s="22" t="s">
        <v>15</v>
      </c>
      <c r="C9" s="20" t="s">
        <v>52</v>
      </c>
      <c r="E9" s="20" t="s">
        <v>22</v>
      </c>
      <c r="G9" s="21" t="s">
        <v>23</v>
      </c>
      <c r="I9" s="21" t="s">
        <v>29</v>
      </c>
      <c r="K9" s="21" t="s">
        <v>58</v>
      </c>
    </row>
    <row r="10" spans="1:11" x14ac:dyDescent="0.35">
      <c r="A10" s="24" t="s">
        <v>86</v>
      </c>
      <c r="C10" s="23" t="s">
        <v>89</v>
      </c>
      <c r="E10" s="25" t="s">
        <v>1</v>
      </c>
      <c r="G10" s="25" t="s">
        <v>31</v>
      </c>
      <c r="I10" s="25" t="s">
        <v>17</v>
      </c>
      <c r="K10" s="25" t="s">
        <v>9</v>
      </c>
    </row>
    <row r="11" spans="1:11" x14ac:dyDescent="0.35">
      <c r="A11" s="24" t="s">
        <v>87</v>
      </c>
      <c r="C11" s="23" t="s">
        <v>90</v>
      </c>
      <c r="E11" s="25" t="s">
        <v>26</v>
      </c>
      <c r="G11" s="25" t="s">
        <v>6</v>
      </c>
      <c r="I11" s="25" t="s">
        <v>32</v>
      </c>
      <c r="K11" s="25" t="s">
        <v>18</v>
      </c>
    </row>
    <row r="12" spans="1:11" x14ac:dyDescent="0.35">
      <c r="A12" s="24" t="s">
        <v>88</v>
      </c>
      <c r="C12" s="23" t="s">
        <v>91</v>
      </c>
      <c r="E12" s="25" t="s">
        <v>25</v>
      </c>
      <c r="G12" s="25" t="s">
        <v>7</v>
      </c>
      <c r="I12" s="25" t="s">
        <v>33</v>
      </c>
      <c r="K12" s="25" t="s">
        <v>14</v>
      </c>
    </row>
    <row r="13" spans="1:11" x14ac:dyDescent="0.35">
      <c r="A13" s="3"/>
      <c r="C13" s="3"/>
      <c r="E13" s="25" t="s">
        <v>24</v>
      </c>
      <c r="G13" s="25" t="s">
        <v>19</v>
      </c>
      <c r="K13" s="25" t="s">
        <v>21</v>
      </c>
    </row>
    <row r="14" spans="1:11" x14ac:dyDescent="0.35">
      <c r="A14" s="3"/>
      <c r="E14" s="25" t="s">
        <v>30</v>
      </c>
      <c r="G14" s="25" t="s">
        <v>28</v>
      </c>
      <c r="K14" s="25" t="s">
        <v>43</v>
      </c>
    </row>
    <row r="15" spans="1:11" x14ac:dyDescent="0.35">
      <c r="A15" s="3"/>
      <c r="E15" s="25" t="s">
        <v>4</v>
      </c>
      <c r="K15" s="25" t="s">
        <v>5</v>
      </c>
    </row>
    <row r="16" spans="1:11" x14ac:dyDescent="0.35">
      <c r="A16" s="3"/>
      <c r="E16" s="25" t="s">
        <v>41</v>
      </c>
      <c r="K16" s="25" t="s">
        <v>40</v>
      </c>
    </row>
    <row r="17" spans="1:11" x14ac:dyDescent="0.35">
      <c r="A17" s="3"/>
      <c r="E17" s="25" t="s">
        <v>16</v>
      </c>
      <c r="K17" s="25" t="s">
        <v>11</v>
      </c>
    </row>
    <row r="18" spans="1:11" x14ac:dyDescent="0.35">
      <c r="A18" s="3"/>
      <c r="E18" s="25" t="s">
        <v>2</v>
      </c>
      <c r="K18" s="25" t="s">
        <v>10</v>
      </c>
    </row>
    <row r="19" spans="1:11" x14ac:dyDescent="0.35">
      <c r="A19" s="3"/>
      <c r="E19" s="25" t="s">
        <v>3</v>
      </c>
      <c r="K19" s="25" t="s">
        <v>34</v>
      </c>
    </row>
    <row r="20" spans="1:11" x14ac:dyDescent="0.35">
      <c r="A20" s="3"/>
      <c r="K20" s="25" t="s">
        <v>13</v>
      </c>
    </row>
    <row r="21" spans="1:11" x14ac:dyDescent="0.35">
      <c r="A21" s="3"/>
      <c r="K21" s="25" t="s">
        <v>42</v>
      </c>
    </row>
    <row r="22" spans="1:11" x14ac:dyDescent="0.35">
      <c r="A22" s="3"/>
      <c r="K22" s="6"/>
    </row>
    <row r="23" spans="1:11" x14ac:dyDescent="0.35">
      <c r="A23" s="3"/>
    </row>
    <row r="24" spans="1:11" x14ac:dyDescent="0.35">
      <c r="A24" s="3"/>
    </row>
    <row r="25" spans="1:11" x14ac:dyDescent="0.35">
      <c r="A25" s="3"/>
    </row>
    <row r="26" spans="1:11" x14ac:dyDescent="0.35">
      <c r="A26" s="3"/>
    </row>
    <row r="27" spans="1:11" x14ac:dyDescent="0.35">
      <c r="A27" s="3"/>
    </row>
    <row r="28" spans="1:11" x14ac:dyDescent="0.35">
      <c r="A28" s="3"/>
    </row>
    <row r="29" spans="1:11" x14ac:dyDescent="0.35">
      <c r="A29" s="3"/>
    </row>
    <row r="30" spans="1:11" x14ac:dyDescent="0.35">
      <c r="A30" s="3"/>
    </row>
    <row r="31" spans="1:11" x14ac:dyDescent="0.35">
      <c r="A31" s="3"/>
    </row>
    <row r="32" spans="1:1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</sheetData>
  <sheetProtection selectLockedCells="1"/>
  <mergeCells count="8">
    <mergeCell ref="A1:G1"/>
    <mergeCell ref="A6:K6"/>
    <mergeCell ref="A7:K7"/>
    <mergeCell ref="A8:K8"/>
    <mergeCell ref="A5:G5"/>
    <mergeCell ref="A4:G4"/>
    <mergeCell ref="A3:G3"/>
    <mergeCell ref="A2:G2"/>
  </mergeCells>
  <dataValidations count="1">
    <dataValidation type="list" allowBlank="1" showInputMessage="1" sqref="C10:C12" xr:uid="{B5CF8C62-1949-4F74-8232-481A4157CD1B}">
      <formula1>INDIRECT("Students[ST / AT / Student]")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btnAbortLock">
          <controlPr defaultSize="0" autoLine="0" r:id="rId5">
            <anchor moveWithCells="1">
              <from>
                <xdr:col>1</xdr:col>
                <xdr:colOff>571500</xdr:colOff>
                <xdr:row>6</xdr:row>
                <xdr:rowOff>0</xdr:rowOff>
              </from>
              <to>
                <xdr:col>2</xdr:col>
                <xdr:colOff>1493520</xdr:colOff>
                <xdr:row>7</xdr:row>
                <xdr:rowOff>7620</xdr:rowOff>
              </to>
            </anchor>
          </controlPr>
        </control>
      </mc:Choice>
      <mc:Fallback>
        <control shapeId="2053" r:id="rId4" name="btnAbortLock"/>
      </mc:Fallback>
    </mc:AlternateContent>
    <mc:AlternateContent xmlns:mc="http://schemas.openxmlformats.org/markup-compatibility/2006">
      <mc:Choice Requires="x14">
        <control shapeId="2049" r:id="rId6" name="btnUpdateUnlock">
          <controlPr defaultSize="0" disabled="1" autoLine="0" r:id="rId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3208020</xdr:colOff>
                <xdr:row>7</xdr:row>
                <xdr:rowOff>7620</xdr:rowOff>
              </to>
            </anchor>
          </controlPr>
        </control>
      </mc:Choice>
      <mc:Fallback>
        <control shapeId="2049" r:id="rId6" name="btnUpdateUnlock"/>
      </mc:Fallback>
    </mc:AlternateContent>
    <mc:AlternateContent xmlns:mc="http://schemas.openxmlformats.org/markup-compatibility/2006">
      <mc:Choice Requires="x14">
        <control shapeId="2051" r:id="rId8" name="btnSaveLock">
          <controlPr defaultSize="0" autoLine="0" r:id="rId9">
            <anchor moveWithCells="1">
              <from>
                <xdr:col>2</xdr:col>
                <xdr:colOff>1661160</xdr:colOff>
                <xdr:row>6</xdr:row>
                <xdr:rowOff>0</xdr:rowOff>
              </from>
              <to>
                <xdr:col>2</xdr:col>
                <xdr:colOff>3177540</xdr:colOff>
                <xdr:row>7</xdr:row>
                <xdr:rowOff>7620</xdr:rowOff>
              </to>
            </anchor>
          </controlPr>
        </control>
      </mc:Choice>
      <mc:Fallback>
        <control shapeId="2051" r:id="rId8" name="btnSaveLock"/>
      </mc:Fallback>
    </mc:AlternateContent>
  </controls>
  <tableParts count="6"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8C25D-8611-436B-983B-5951A1D2654B}">
  <sheetPr codeName="Config"/>
  <dimension ref="A1:D14"/>
  <sheetViews>
    <sheetView workbookViewId="0">
      <selection activeCell="B20" sqref="B20"/>
    </sheetView>
  </sheetViews>
  <sheetFormatPr defaultColWidth="8.88671875" defaultRowHeight="14.4" x14ac:dyDescent="0.3"/>
  <cols>
    <col min="1" max="1" width="31.5546875" style="3" bestFit="1" customWidth="1"/>
    <col min="2" max="2" width="68.33203125" style="3" bestFit="1" customWidth="1"/>
    <col min="3" max="3" width="52.5546875" style="3" customWidth="1"/>
    <col min="4" max="4" width="12" style="3" bestFit="1" customWidth="1"/>
    <col min="5" max="16384" width="8.88671875" style="3"/>
  </cols>
  <sheetData>
    <row r="1" spans="1:4" ht="85.5" customHeight="1" x14ac:dyDescent="0.3">
      <c r="A1" s="42" t="s">
        <v>62</v>
      </c>
      <c r="B1" s="42"/>
      <c r="C1" s="42"/>
      <c r="D1" s="42"/>
    </row>
    <row r="4" spans="1:4" x14ac:dyDescent="0.3">
      <c r="A4" t="s">
        <v>35</v>
      </c>
      <c r="B4" t="s">
        <v>36</v>
      </c>
      <c r="C4" t="s">
        <v>0</v>
      </c>
      <c r="D4" t="s">
        <v>49</v>
      </c>
    </row>
    <row r="5" spans="1:4" x14ac:dyDescent="0.3">
      <c r="A5" t="s">
        <v>47</v>
      </c>
      <c r="B5" s="1" t="s">
        <v>85</v>
      </c>
      <c r="C5" t="s">
        <v>48</v>
      </c>
      <c r="D5">
        <v>1</v>
      </c>
    </row>
    <row r="6" spans="1:4" x14ac:dyDescent="0.3">
      <c r="A6" t="s">
        <v>38</v>
      </c>
      <c r="B6" t="str">
        <f>B5&amp;"\läkarbemanning.xlsm"</f>
        <v>D:\Filer\Programmering\Projects\Excel-Dr-Schedule-Public\läkarbemanning.xlsm</v>
      </c>
      <c r="C6" t="s">
        <v>50</v>
      </c>
      <c r="D6">
        <v>2</v>
      </c>
    </row>
    <row r="7" spans="1:4" x14ac:dyDescent="0.3">
      <c r="A7" t="s">
        <v>45</v>
      </c>
      <c r="B7" t="str">
        <f>B5&amp;"\.Kopia\läkarbemanning.xlsm"</f>
        <v>D:\Filer\Programmering\Projects\Excel-Dr-Schedule-Public\.Kopia\läkarbemanning.xlsm</v>
      </c>
      <c r="C7" t="s">
        <v>51</v>
      </c>
      <c r="D7">
        <v>3</v>
      </c>
    </row>
    <row r="8" spans="1:4" x14ac:dyDescent="0.3">
      <c r="A8" t="s">
        <v>37</v>
      </c>
      <c r="B8" t="str">
        <f>B5&amp;"\static"</f>
        <v>D:\Filer\Programmering\Projects\Excel-Dr-Schedule-Public\static</v>
      </c>
      <c r="C8" t="s">
        <v>39</v>
      </c>
      <c r="D8">
        <v>4</v>
      </c>
    </row>
    <row r="9" spans="1:4" x14ac:dyDescent="0.3">
      <c r="A9" t="s">
        <v>44</v>
      </c>
      <c r="B9" t="str">
        <f>B5&amp;"\.Database"</f>
        <v>D:\Filer\Programmering\Projects\Excel-Dr-Schedule-Public\.Database</v>
      </c>
      <c r="C9" t="s">
        <v>46</v>
      </c>
      <c r="D9">
        <v>5</v>
      </c>
    </row>
    <row r="10" spans="1:4" x14ac:dyDescent="0.3">
      <c r="A10" t="s">
        <v>60</v>
      </c>
      <c r="B10" t="str">
        <f>B8&amp;"\schedule.html"</f>
        <v>D:\Filer\Programmering\Projects\Excel-Dr-Schedule-Public\static\schedule.html</v>
      </c>
      <c r="C10" t="s">
        <v>61</v>
      </c>
      <c r="D10">
        <v>6</v>
      </c>
    </row>
    <row r="11" spans="1:4" x14ac:dyDescent="0.3">
      <c r="A11" t="s">
        <v>81</v>
      </c>
      <c r="B11" t="str">
        <f>B9&amp;"\Schedules"</f>
        <v>D:\Filer\Programmering\Projects\Excel-Dr-Schedule-Public\.Database\Schedules</v>
      </c>
      <c r="C11" t="s">
        <v>82</v>
      </c>
      <c r="D11">
        <v>7</v>
      </c>
    </row>
    <row r="12" spans="1:4" x14ac:dyDescent="0.3">
      <c r="A12" t="s">
        <v>75</v>
      </c>
      <c r="B12" s="16" t="s">
        <v>76</v>
      </c>
      <c r="C12" t="s">
        <v>74</v>
      </c>
      <c r="D12">
        <v>8</v>
      </c>
    </row>
    <row r="13" spans="1:4" x14ac:dyDescent="0.3">
      <c r="A13" t="s">
        <v>77</v>
      </c>
      <c r="B13" s="16" t="s">
        <v>83</v>
      </c>
      <c r="C13" t="s">
        <v>80</v>
      </c>
      <c r="D13">
        <v>9</v>
      </c>
    </row>
    <row r="14" spans="1:4" x14ac:dyDescent="0.3">
      <c r="A14" t="s">
        <v>78</v>
      </c>
      <c r="B14" s="16" t="s">
        <v>83</v>
      </c>
      <c r="C14" t="s">
        <v>79</v>
      </c>
      <c r="D14">
        <v>10</v>
      </c>
    </row>
  </sheetData>
  <mergeCells count="1">
    <mergeCell ref="A1:D1"/>
  </mergeCells>
  <dataValidations count="1">
    <dataValidation type="list" allowBlank="1" showInputMessage="1" showErrorMessage="1" errorTitle="Felaktigt värde" error="Du måste välja True eller False" sqref="B12:B14" xr:uid="{E871C119-D1B0-49FF-A540-3F6457C4020C}">
      <formula1>"True, False"</formula1>
    </dataValidation>
  </dataValidations>
  <hyperlinks>
    <hyperlink ref="B5" r:id="rId1" display="\\vgregion.se\Hem\SKO-A\andth13\Mina dokument\DOKUMENT\Mina medicinska dokument\Mina_program\Läkarbemanning_excel" xr:uid="{BF86009D-D6CF-47C4-B739-9C4ACB506D3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8" r:id="rId5" name="btnLockAndSave">
          <controlPr defaultSize="0" autoLine="0" r:id="rId6">
            <anchor moveWithCells="1">
              <from>
                <xdr:col>2</xdr:col>
                <xdr:colOff>1676400</xdr:colOff>
                <xdr:row>15</xdr:row>
                <xdr:rowOff>121920</xdr:rowOff>
              </from>
              <to>
                <xdr:col>3</xdr:col>
                <xdr:colOff>228600</xdr:colOff>
                <xdr:row>19</xdr:row>
                <xdr:rowOff>99060</xdr:rowOff>
              </to>
            </anchor>
          </controlPr>
        </control>
      </mc:Choice>
      <mc:Fallback>
        <control shapeId="4098" r:id="rId5" name="btnLockAndSave"/>
      </mc:Fallback>
    </mc:AlternateContent>
    <mc:AlternateContent xmlns:mc="http://schemas.openxmlformats.org/markup-compatibility/2006">
      <mc:Choice Requires="x14">
        <control shapeId="4097" r:id="rId7" name="btnUpdatePath">
          <controlPr defaultSize="0" autoLine="0" r:id="rId8">
            <anchor moveWithCells="1">
              <from>
                <xdr:col>1</xdr:col>
                <xdr:colOff>3695700</xdr:colOff>
                <xdr:row>15</xdr:row>
                <xdr:rowOff>121920</xdr:rowOff>
              </from>
              <to>
                <xdr:col>2</xdr:col>
                <xdr:colOff>1165860</xdr:colOff>
                <xdr:row>19</xdr:row>
                <xdr:rowOff>99060</xdr:rowOff>
              </to>
            </anchor>
          </controlPr>
        </control>
      </mc:Choice>
      <mc:Fallback>
        <control shapeId="4097" r:id="rId7" name="btnUpdatePath"/>
      </mc:Fallback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235E-5228-4040-AD27-E81EBDAF526F}">
  <sheetPr codeName="NavPage"/>
  <dimension ref="A1:Y4"/>
  <sheetViews>
    <sheetView showGridLines="0" workbookViewId="0">
      <selection activeCell="G18" sqref="G18"/>
    </sheetView>
  </sheetViews>
  <sheetFormatPr defaultColWidth="8.88671875" defaultRowHeight="14.4" x14ac:dyDescent="0.3"/>
  <cols>
    <col min="1" max="1" width="5.6640625" style="3" customWidth="1"/>
    <col min="2" max="16" width="9.6640625" style="3" customWidth="1"/>
    <col min="17" max="16384" width="8.88671875" style="3"/>
  </cols>
  <sheetData>
    <row r="1" spans="1:25" x14ac:dyDescent="0.3">
      <c r="A1" s="4"/>
    </row>
    <row r="4" spans="1:25" ht="102" customHeight="1" x14ac:dyDescent="0.3">
      <c r="B4" s="43" t="s">
        <v>59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17"/>
      <c r="R4" s="17"/>
      <c r="S4" s="17"/>
      <c r="T4" s="17"/>
      <c r="U4" s="17"/>
      <c r="V4" s="17"/>
      <c r="W4" s="17"/>
      <c r="X4" s="17"/>
      <c r="Y4" s="17"/>
    </row>
  </sheetData>
  <mergeCells count="1">
    <mergeCell ref="B4:P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btnNewSchedule">
          <controlPr defaultSize="0" autoLine="0" r:id="rId4">
            <anchor moveWithCells="1">
              <from>
                <xdr:col>5</xdr:col>
                <xdr:colOff>0</xdr:colOff>
                <xdr:row>5</xdr:row>
                <xdr:rowOff>160020</xdr:rowOff>
              </from>
              <to>
                <xdr:col>8</xdr:col>
                <xdr:colOff>449580</xdr:colOff>
                <xdr:row>9</xdr:row>
                <xdr:rowOff>106680</xdr:rowOff>
              </to>
            </anchor>
          </controlPr>
        </control>
      </mc:Choice>
      <mc:Fallback>
        <control shapeId="3075" r:id="rId3" name="btnNewSchedule"/>
      </mc:Fallback>
    </mc:AlternateContent>
    <mc:AlternateContent xmlns:mc="http://schemas.openxmlformats.org/markup-compatibility/2006">
      <mc:Choice Requires="x14">
        <control shapeId="3074" r:id="rId5" name="btnEditSchedule">
          <controlPr defaultSize="0" autoLine="0" r:id="rId6">
            <anchor moveWithCells="1">
              <from>
                <xdr:col>1</xdr:col>
                <xdr:colOff>0</xdr:colOff>
                <xdr:row>5</xdr:row>
                <xdr:rowOff>160020</xdr:rowOff>
              </from>
              <to>
                <xdr:col>4</xdr:col>
                <xdr:colOff>449580</xdr:colOff>
                <xdr:row>9</xdr:row>
                <xdr:rowOff>106680</xdr:rowOff>
              </to>
            </anchor>
          </controlPr>
        </control>
      </mc:Choice>
      <mc:Fallback>
        <control shapeId="3074" r:id="rId5" name="btnEditSchedule"/>
      </mc:Fallback>
    </mc:AlternateContent>
    <mc:AlternateContent xmlns:mc="http://schemas.openxmlformats.org/markup-compatibility/2006">
      <mc:Choice Requires="x14">
        <control shapeId="3073" r:id="rId7" name="btnShowSchedule">
          <controlPr defaultSize="0" autoLine="0" r:id="rId8">
            <anchor moveWithCells="1">
              <from>
                <xdr:col>10</xdr:col>
                <xdr:colOff>373380</xdr:colOff>
                <xdr:row>5</xdr:row>
                <xdr:rowOff>160020</xdr:rowOff>
              </from>
              <to>
                <xdr:col>15</xdr:col>
                <xdr:colOff>586740</xdr:colOff>
                <xdr:row>9</xdr:row>
                <xdr:rowOff>106680</xdr:rowOff>
              </to>
            </anchor>
          </controlPr>
        </control>
      </mc:Choice>
      <mc:Fallback>
        <control shapeId="3073" r:id="rId7" name="btnShowSchedu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9C76-DFEB-4700-8332-137C11355E73}">
  <sheetPr codeName="WelcomePage"/>
  <dimension ref="B4:Y10"/>
  <sheetViews>
    <sheetView showGridLines="0" workbookViewId="0">
      <selection activeCell="H16" sqref="H16"/>
    </sheetView>
  </sheetViews>
  <sheetFormatPr defaultColWidth="8.88671875" defaultRowHeight="14.4" x14ac:dyDescent="0.3"/>
  <cols>
    <col min="1" max="1" width="5.6640625" style="3" customWidth="1"/>
    <col min="2" max="16" width="9.6640625" style="3" customWidth="1"/>
    <col min="17" max="24" width="8.88671875" style="3"/>
    <col min="25" max="25" width="9.109375" style="3" customWidth="1"/>
    <col min="26" max="16384" width="8.88671875" style="3"/>
  </cols>
  <sheetData>
    <row r="4" spans="2:25" ht="102" customHeight="1" x14ac:dyDescent="0.3">
      <c r="B4" s="43" t="s">
        <v>63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2"/>
      <c r="R4" s="2"/>
      <c r="S4" s="2"/>
      <c r="T4" s="2"/>
      <c r="U4" s="2"/>
      <c r="V4" s="2"/>
      <c r="W4" s="2"/>
      <c r="X4" s="2"/>
      <c r="Y4" s="2"/>
    </row>
    <row r="5" spans="2:25" ht="21" x14ac:dyDescent="0.4">
      <c r="B5" s="44" t="s">
        <v>64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</row>
    <row r="6" spans="2:25" ht="21" x14ac:dyDescent="0.4">
      <c r="B6" s="44" t="s">
        <v>73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</row>
    <row r="7" spans="2:25" ht="21" x14ac:dyDescent="0.4">
      <c r="B7" s="44" t="s">
        <v>65</v>
      </c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</row>
    <row r="8" spans="2:25" ht="21" x14ac:dyDescent="0.4"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</row>
    <row r="9" spans="2:25" ht="21" x14ac:dyDescent="0.4">
      <c r="B9" s="44" t="s">
        <v>66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</row>
    <row r="10" spans="2:25" ht="21" x14ac:dyDescent="0.4">
      <c r="B10" s="44" t="s">
        <v>67</v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</row>
  </sheetData>
  <mergeCells count="7">
    <mergeCell ref="B9:P9"/>
    <mergeCell ref="B8:P8"/>
    <mergeCell ref="B10:P10"/>
    <mergeCell ref="B4:P4"/>
    <mergeCell ref="B5:P5"/>
    <mergeCell ref="B6:P6"/>
    <mergeCell ref="B7:P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4</vt:i4>
      </vt:variant>
    </vt:vector>
  </HeadingPairs>
  <TitlesOfParts>
    <vt:vector size="9" baseType="lpstr">
      <vt:lpstr>Bemanning</vt:lpstr>
      <vt:lpstr>Tabeller</vt:lpstr>
      <vt:lpstr>Config</vt:lpstr>
      <vt:lpstr>NavPage</vt:lpstr>
      <vt:lpstr>WelcomePage</vt:lpstr>
      <vt:lpstr>Bemanning!PublishArea</vt:lpstr>
      <vt:lpstr>ScheduleDate</vt:lpstr>
      <vt:lpstr>TabellerInfo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Min dator</dc:creator>
  <cp:lastModifiedBy>Andreas Thorén</cp:lastModifiedBy>
  <dcterms:created xsi:type="dcterms:W3CDTF">2022-01-02T14:47:52Z</dcterms:created>
  <dcterms:modified xsi:type="dcterms:W3CDTF">2023-12-03T13:36:57Z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4.0</vt:lpwstr>
  </property>
  <property fmtid="{D5CDD505-2E9C-101B-9397-08002B2CF9AE}" pid="3" name="Last_Modified">
    <vt:filetime>2023-11-30T23:00:00Z</vt:filetime>
  </property>
  <property fmtid="{D5CDD505-2E9C-101B-9397-08002B2CF9AE}" pid="4" name="Creator">
    <vt:lpwstr>Andreas Thorén, skapad utifrån Per Lorentzens orginalversion</vt:lpwstr>
  </property>
</Properties>
</file>